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mises" sheetId="1" state="visible" r:id="rId3"/>
    <sheet name="Totals by Book" sheetId="2" state="visible" r:id="rId4"/>
    <sheet name="Totals by Category" sheetId="3" state="visible" r:id="rId5"/>
    <sheet name="Category Index (A-Z)" sheetId="4" state="visible" r:id="rId6"/>
    <sheet name="Recipient Index" sheetId="5" state="visible" r:id="rId7"/>
    <sheet name="Read Me — Methodology" sheetId="6" state="visible" r:id="rId8"/>
  </sheets>
  <definedNames>
    <definedName function="false" hidden="true" localSheetId="0" name="_xlnm._FilterDatabase" vbProcedure="false">Promises!$A$1:$H$1047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<sst xmlns="http://schemas.openxmlformats.org/spreadsheetml/2006/main" count="8364" uniqueCount="3660">
  <si>
    <t xml:space="preserve">#</t>
  </si>
  <si>
    <t xml:space="preserve">Promise</t>
  </si>
  <si>
    <t xml:space="preserve">Reference</t>
  </si>
  <si>
    <t xml:space="preserve">Speaker</t>
  </si>
  <si>
    <t xml:space="preserve">Recipient</t>
  </si>
  <si>
    <t xml:space="preserve">Category</t>
  </si>
  <si>
    <t xml:space="preserve">Conditional / Unconditional</t>
  </si>
  <si>
    <t xml:space="preserve">Vol</t>
  </si>
  <si>
    <t xml:space="preserve">The Seed of the woman will bruise the serpent's head</t>
  </si>
  <si>
    <t xml:space="preserve">Genesis 3:15</t>
  </si>
  <si>
    <t xml:space="preserve">God</t>
  </si>
  <si>
    <t xml:space="preserve">Humanity (via the serpent)</t>
  </si>
  <si>
    <t xml:space="preserve">Redemption / Messiah</t>
  </si>
  <si>
    <t xml:space="preserve">Unconditional</t>
  </si>
  <si>
    <t xml:space="preserve">1</t>
  </si>
  <si>
    <t xml:space="preserve">God will put enmity between the serpent and the woman, and between their seeds</t>
  </si>
  <si>
    <t xml:space="preserve">Humanity</t>
  </si>
  <si>
    <t xml:space="preserve">Redemption</t>
  </si>
  <si>
    <t xml:space="preserve">Whoever kills Cain will suffer vengeance sevenfold</t>
  </si>
  <si>
    <t xml:space="preserve">Genesis 4:15</t>
  </si>
  <si>
    <t xml:space="preserve">Cain</t>
  </si>
  <si>
    <t xml:space="preserve">Protection</t>
  </si>
  <si>
    <t xml:space="preserve">God will establish His covenant with Noah</t>
  </si>
  <si>
    <t xml:space="preserve">Genesis 6:18</t>
  </si>
  <si>
    <t xml:space="preserve">Noah</t>
  </si>
  <si>
    <t xml:space="preserve">Covenant</t>
  </si>
  <si>
    <t xml:space="preserve">Noah, his family, and the animals will enter and be preserved in the ark</t>
  </si>
  <si>
    <t xml:space="preserve">Deliverance</t>
  </si>
  <si>
    <t xml:space="preserve">Conditional</t>
  </si>
  <si>
    <t xml:space="preserve">In seven days God will send rain forty days and nights and destroy every living thing He made</t>
  </si>
  <si>
    <t xml:space="preserve">Genesis 7:4</t>
  </si>
  <si>
    <t xml:space="preserve">Judgment</t>
  </si>
  <si>
    <t xml:space="preserve">God will never again curse the ground for man's sake</t>
  </si>
  <si>
    <t xml:space="preserve">Genesis 8:21</t>
  </si>
  <si>
    <t xml:space="preserve">Noah / Humanity</t>
  </si>
  <si>
    <t xml:space="preserve">Mercy</t>
  </si>
  <si>
    <t xml:space="preserve">God will never again destroy every living thing as He had done</t>
  </si>
  <si>
    <t xml:space="preserve">While the earth remains, seedtime, harvest, cold, heat, summer, winter, day and night shall not cease</t>
  </si>
  <si>
    <t xml:space="preserve">Genesis 8:22</t>
  </si>
  <si>
    <t xml:space="preserve">Providence</t>
  </si>
  <si>
    <t xml:space="preserve">God establishes His covenant with Noah, his descendants, and every living creature</t>
  </si>
  <si>
    <t xml:space="preserve">Genesis 9:9-10</t>
  </si>
  <si>
    <t xml:space="preserve">Noah and all creation</t>
  </si>
  <si>
    <t xml:space="preserve">Never again shall all flesh be cut off by flood waters</t>
  </si>
  <si>
    <t xml:space="preserve">Genesis 9:11</t>
  </si>
  <si>
    <t xml:space="preserve">All creation</t>
  </si>
  <si>
    <t xml:space="preserve">Never again shall a flood destroy the earth</t>
  </si>
  <si>
    <t xml:space="preserve">The rainbow is set as the sign; God will remember His covenant when clouds cover the earth</t>
  </si>
  <si>
    <t xml:space="preserve">Genesis 9:13-15</t>
  </si>
  <si>
    <t xml:space="preserve">God will show Abram the land to which he is called</t>
  </si>
  <si>
    <t xml:space="preserve">Genesis 12:1</t>
  </si>
  <si>
    <t xml:space="preserve">Abram</t>
  </si>
  <si>
    <t xml:space="preserve">Guidance</t>
  </si>
  <si>
    <t xml:space="preserve">God will make Abram a great nation</t>
  </si>
  <si>
    <t xml:space="preserve">Genesis 12:2</t>
  </si>
  <si>
    <t xml:space="preserve">Nation</t>
  </si>
  <si>
    <t xml:space="preserve">God will bless Abram</t>
  </si>
  <si>
    <t xml:space="preserve">Blessing</t>
  </si>
  <si>
    <t xml:space="preserve">God will make Abram's name great</t>
  </si>
  <si>
    <t xml:space="preserve">Abram shall be a blessing</t>
  </si>
  <si>
    <t xml:space="preserve">God will bless those who bless Abram</t>
  </si>
  <si>
    <t xml:space="preserve">Genesis 12:3</t>
  </si>
  <si>
    <t xml:space="preserve">Abram / Nations</t>
  </si>
  <si>
    <t xml:space="preserve">God will curse him who curses Abram</t>
  </si>
  <si>
    <t xml:space="preserve">In Abram all families of the earth shall be blessed</t>
  </si>
  <si>
    <t xml:space="preserve">All nations</t>
  </si>
  <si>
    <t xml:space="preserve">Messiah / Blessing</t>
  </si>
  <si>
    <t xml:space="preserve">To Abram's seed God will give the land of Canaan</t>
  </si>
  <si>
    <t xml:space="preserve">Genesis 12:7</t>
  </si>
  <si>
    <t xml:space="preserve">Abram's descendants</t>
  </si>
  <si>
    <t xml:space="preserve">Land</t>
  </si>
  <si>
    <t xml:space="preserve">All the land Abram sees God gives to him and his seed forever</t>
  </si>
  <si>
    <t xml:space="preserve">Genesis 13:15</t>
  </si>
  <si>
    <t xml:space="preserve">Abram and his seed</t>
  </si>
  <si>
    <t xml:space="preserve">Abram's seed will be as the dust of the earth, beyond counting</t>
  </si>
  <si>
    <t xml:space="preserve">Genesis 13:16</t>
  </si>
  <si>
    <t xml:space="preserve">God Himself is Abram's shield and exceedingly great reward</t>
  </si>
  <si>
    <t xml:space="preserve">Genesis 15:1</t>
  </si>
  <si>
    <t xml:space="preserve">Protection / Presence</t>
  </si>
  <si>
    <t xml:space="preserve">One from Abram's own body shall be his heir</t>
  </si>
  <si>
    <t xml:space="preserve">Genesis 15:4</t>
  </si>
  <si>
    <t xml:space="preserve">Inheritance</t>
  </si>
  <si>
    <t xml:space="preserve">Abram's descendants shall be as numberless as the stars</t>
  </si>
  <si>
    <t xml:space="preserve">Genesis 15:5</t>
  </si>
  <si>
    <t xml:space="preserve">Abram's descendants will be afflicted four hundred years, but God will judge that nation</t>
  </si>
  <si>
    <t xml:space="preserve">Genesis 15:13-14</t>
  </si>
  <si>
    <t xml:space="preserve">Prophecy / Judgment</t>
  </si>
  <si>
    <t xml:space="preserve">Afterward Abram's descendants will come out with great possessions</t>
  </si>
  <si>
    <t xml:space="preserve">Genesis 15:14</t>
  </si>
  <si>
    <t xml:space="preserve">Deliverance / Provision</t>
  </si>
  <si>
    <t xml:space="preserve">Abram will go to his fathers in peace and be buried at a good old age</t>
  </si>
  <si>
    <t xml:space="preserve">Genesis 15:15</t>
  </si>
  <si>
    <t xml:space="preserve">Peace</t>
  </si>
  <si>
    <t xml:space="preserve">In the fourth generation his descendants will return to the land</t>
  </si>
  <si>
    <t xml:space="preserve">Genesis 15:16</t>
  </si>
  <si>
    <t xml:space="preserve">Restoration / Land</t>
  </si>
  <si>
    <t xml:space="preserve">God gives Abram's descendants the land from the river of Egypt to the Euphrates</t>
  </si>
  <si>
    <t xml:space="preserve">Genesis 15:18</t>
  </si>
  <si>
    <t xml:space="preserve">Land / Covenant</t>
  </si>
  <si>
    <t xml:space="preserve">The Angel of the LORD will multiply Hagar's descendants exceedingly</t>
  </si>
  <si>
    <t xml:space="preserve">Genesis 16:10</t>
  </si>
  <si>
    <t xml:space="preserve">Angel of the LORD</t>
  </si>
  <si>
    <t xml:space="preserve">Hagar</t>
  </si>
  <si>
    <t xml:space="preserve">Hagar will bear Ishmael, and he will be a wild man dwelling among his brethren</t>
  </si>
  <si>
    <t xml:space="preserve">Genesis 16:11-12</t>
  </si>
  <si>
    <t xml:space="preserve">Prophecy</t>
  </si>
  <si>
    <t xml:space="preserve">God will make His covenant with Abram and multiply him exceedingly</t>
  </si>
  <si>
    <t xml:space="preserve">Genesis 17:2</t>
  </si>
  <si>
    <t xml:space="preserve">Abram shall be a father of many nations</t>
  </si>
  <si>
    <t xml:space="preserve">Genesis 17:4</t>
  </si>
  <si>
    <t xml:space="preserve">Abraham</t>
  </si>
  <si>
    <t xml:space="preserve">God will make Abraham exceedingly fruitful; nations and kings shall come from him</t>
  </si>
  <si>
    <t xml:space="preserve">Genesis 17:6</t>
  </si>
  <si>
    <t xml:space="preserve">Nation / Kingdom</t>
  </si>
  <si>
    <t xml:space="preserve">God establishes an everlasting covenant to be God to Abraham and his seed</t>
  </si>
  <si>
    <t xml:space="preserve">Genesis 17:7</t>
  </si>
  <si>
    <t xml:space="preserve">Abraham and his seed</t>
  </si>
  <si>
    <t xml:space="preserve">Covenant / Presence</t>
  </si>
  <si>
    <t xml:space="preserve">God gives Canaan as an everlasting possession and will be their God</t>
  </si>
  <si>
    <t xml:space="preserve">Genesis 17:8</t>
  </si>
  <si>
    <t xml:space="preserve">Abraham's descendants</t>
  </si>
  <si>
    <t xml:space="preserve">God will bless Sarah and give Abraham a son by her</t>
  </si>
  <si>
    <t xml:space="preserve">Genesis 17:16</t>
  </si>
  <si>
    <t xml:space="preserve">Abraham / Sarah</t>
  </si>
  <si>
    <t xml:space="preserve">Provision</t>
  </si>
  <si>
    <t xml:space="preserve">Sarah shall be a mother of nations; kings shall come from her</t>
  </si>
  <si>
    <t xml:space="preserve">Sarah</t>
  </si>
  <si>
    <t xml:space="preserve">Sarah shall bear Isaac, and God will establish His everlasting covenant with him</t>
  </si>
  <si>
    <t xml:space="preserve">Genesis 17:19</t>
  </si>
  <si>
    <t xml:space="preserve">God will bless Ishmael, multiply him, and make him a great nation of twelve princes</t>
  </si>
  <si>
    <t xml:space="preserve">Genesis 17:20</t>
  </si>
  <si>
    <t xml:space="preserve">Abraham (for Ishmael)</t>
  </si>
  <si>
    <t xml:space="preserve">Blessing / Nation</t>
  </si>
  <si>
    <t xml:space="preserve">God will establish His covenant with Isaac, whom Sarah will bear at the set time</t>
  </si>
  <si>
    <t xml:space="preserve">Genesis 17:21</t>
  </si>
  <si>
    <t xml:space="preserve">The LORD will return, and Sarah shall have a son</t>
  </si>
  <si>
    <t xml:space="preserve">Genesis 18:10</t>
  </si>
  <si>
    <t xml:space="preserve">At the appointed time Sarah shall have a son, for nothing is too hard for the LORD</t>
  </si>
  <si>
    <t xml:space="preserve">Genesis 18:14</t>
  </si>
  <si>
    <t xml:space="preserve">If fifty righteous are found in Sodom, God will spare the whole place</t>
  </si>
  <si>
    <t xml:space="preserve">Genesis 18:26</t>
  </si>
  <si>
    <t xml:space="preserve">God will not destroy Sodom for the sake of forty-five, forty, thirty, twenty, or ten righteous</t>
  </si>
  <si>
    <t xml:space="preserve">Genesis 18:28-32</t>
  </si>
  <si>
    <t xml:space="preserve">In Isaac Abraham's seed shall be called</t>
  </si>
  <si>
    <t xml:space="preserve">Genesis 21:12</t>
  </si>
  <si>
    <t xml:space="preserve">Covenant / Messiah</t>
  </si>
  <si>
    <t xml:space="preserve">God will make a nation of Ishmael because he is Abraham's seed</t>
  </si>
  <si>
    <t xml:space="preserve">Genesis 21:13</t>
  </si>
  <si>
    <t xml:space="preserve">God will make Ishmael a great nation</t>
  </si>
  <si>
    <t xml:space="preserve">Genesis 21:18</t>
  </si>
  <si>
    <t xml:space="preserve">Angel of God</t>
  </si>
  <si>
    <t xml:space="preserve">Because Abraham did not withhold his son, God will surely bless him</t>
  </si>
  <si>
    <t xml:space="preserve">Genesis 22:16-17</t>
  </si>
  <si>
    <t xml:space="preserve">God (by oath)</t>
  </si>
  <si>
    <t xml:space="preserve">God will multiply Abraham's seed as the stars of heaven and the sand of the seashore</t>
  </si>
  <si>
    <t xml:space="preserve">Genesis 22:17</t>
  </si>
  <si>
    <t xml:space="preserve">Abraham's seed shall possess the gate of his enemies</t>
  </si>
  <si>
    <t xml:space="preserve">Victory</t>
  </si>
  <si>
    <t xml:space="preserve">In Abraham's Seed all nations of the earth shall be blessed</t>
  </si>
  <si>
    <t xml:space="preserve">Genesis 22:18</t>
  </si>
  <si>
    <t xml:space="preserve">Messiah</t>
  </si>
  <si>
    <t xml:space="preserve">God will send His angel before Abraham's servant to secure a wife for Isaac</t>
  </si>
  <si>
    <t xml:space="preserve">Genesis 24:7</t>
  </si>
  <si>
    <t xml:space="preserve">God (cited by Abraham)</t>
  </si>
  <si>
    <t xml:space="preserve">Abraham's servant</t>
  </si>
  <si>
    <t xml:space="preserve">God will be with Isaac and bless him</t>
  </si>
  <si>
    <t xml:space="preserve">Genesis 26:3</t>
  </si>
  <si>
    <t xml:space="preserve">Isaac</t>
  </si>
  <si>
    <t xml:space="preserve">Presence / Blessing</t>
  </si>
  <si>
    <t xml:space="preserve">To Isaac and his descendants God will give all these lands, performing the oath to Abraham</t>
  </si>
  <si>
    <t xml:space="preserve">God will make Isaac's descendants multiply as the stars and give them all these lands</t>
  </si>
  <si>
    <t xml:space="preserve">Genesis 26:4</t>
  </si>
  <si>
    <t xml:space="preserve">Nation / Land</t>
  </si>
  <si>
    <t xml:space="preserve">In Isaac's seed all the nations of the earth shall be blessed</t>
  </si>
  <si>
    <t xml:space="preserve">God is with Isaac, will bless him, and multiply his descendants for Abraham's sake</t>
  </si>
  <si>
    <t xml:space="preserve">Genesis 26:24</t>
  </si>
  <si>
    <t xml:space="preserve">The land on which Jacob lies God will give to him and his descendants</t>
  </si>
  <si>
    <t xml:space="preserve">Genesis 28:13</t>
  </si>
  <si>
    <t xml:space="preserve">Jacob</t>
  </si>
  <si>
    <t xml:space="preserve">Jacob's descendants shall be as the dust, spreading to the four directions</t>
  </si>
  <si>
    <t xml:space="preserve">Genesis 28:14</t>
  </si>
  <si>
    <t xml:space="preserve">In Jacob and his Seed all families of the earth shall be blessed</t>
  </si>
  <si>
    <t xml:space="preserve">God is with Jacob and will keep him wherever he goes</t>
  </si>
  <si>
    <t xml:space="preserve">Genesis 28:15</t>
  </si>
  <si>
    <t xml:space="preserve">Presence / Protection</t>
  </si>
  <si>
    <t xml:space="preserve">God will bring Jacob back to this land</t>
  </si>
  <si>
    <t xml:space="preserve">Restoration</t>
  </si>
  <si>
    <t xml:space="preserve">God will not leave Jacob until He has done what He has spoken</t>
  </si>
  <si>
    <t xml:space="preserve">Faithfulness</t>
  </si>
  <si>
    <t xml:space="preserve">God commands Jacob to return, and He will be with him</t>
  </si>
  <si>
    <t xml:space="preserve">Genesis 31:3</t>
  </si>
  <si>
    <t xml:space="preserve">Presence</t>
  </si>
  <si>
    <t xml:space="preserve">God will surely treat Jacob well and make his seed as the sand of the sea</t>
  </si>
  <si>
    <t xml:space="preserve">Genesis 32:12</t>
  </si>
  <si>
    <t xml:space="preserve">God (cited by Jacob)</t>
  </si>
  <si>
    <t xml:space="preserve">A nation and a company of nations shall come from Jacob; kings shall come from his body</t>
  </si>
  <si>
    <t xml:space="preserve">Genesis 35:11-12</t>
  </si>
  <si>
    <t xml:space="preserve">The land given to Abraham and Isaac God gives to Jacob and his descendants</t>
  </si>
  <si>
    <t xml:space="preserve">Genesis 35:12</t>
  </si>
  <si>
    <t xml:space="preserve">God will make Jacob a great nation in Egypt, go down with him, and surely bring him up again</t>
  </si>
  <si>
    <t xml:space="preserve">Genesis 46:3-4</t>
  </si>
  <si>
    <t xml:space="preserve">Nation / Presence / Restoration</t>
  </si>
  <si>
    <t xml:space="preserve">God will make Jacob fruitful, multiply him, and give the land to his descendants as an everlasting possession</t>
  </si>
  <si>
    <t xml:space="preserve">Genesis 48:4</t>
  </si>
  <si>
    <t xml:space="preserve">God (recalled by Jacob)</t>
  </si>
  <si>
    <t xml:space="preserve">God will be with Joseph's people and bring them back to the land of their fathers</t>
  </si>
  <si>
    <t xml:space="preserve">Genesis 48:21</t>
  </si>
  <si>
    <t xml:space="preserve">God (via Jacob's testimony)</t>
  </si>
  <si>
    <t xml:space="preserve">Joseph / Israel</t>
  </si>
  <si>
    <t xml:space="preserve">Presence / Restoration</t>
  </si>
  <si>
    <t xml:space="preserve">The scepter shall not depart from Judah until Shiloh comes, and to Him shall be the obedience of the people</t>
  </si>
  <si>
    <t xml:space="preserve">Genesis 49:10</t>
  </si>
  <si>
    <t xml:space="preserve">God (through Jacob's prophecy)</t>
  </si>
  <si>
    <t xml:space="preserve">Judah / All nations</t>
  </si>
  <si>
    <t xml:space="preserve">Messiah / Kingdom</t>
  </si>
  <si>
    <t xml:space="preserve">God will surely visit Israel and bring them out of Egypt to the promised land</t>
  </si>
  <si>
    <t xml:space="preserve">Genesis 50:24</t>
  </si>
  <si>
    <t xml:space="preserve">God (via Joseph's testimony)</t>
  </si>
  <si>
    <t xml:space="preserve">Israel</t>
  </si>
  <si>
    <t xml:space="preserve">Deliverance / Land</t>
  </si>
  <si>
    <t xml:space="preserve">God has come down to deliver Israel from Egypt and bring them to a good and large land</t>
  </si>
  <si>
    <t xml:space="preserve">Exodus 3:8</t>
  </si>
  <si>
    <t xml:space="preserve">Israel (via Moses)</t>
  </si>
  <si>
    <t xml:space="preserve">God will send Moses to Pharaoh to bring Israel out of Egypt</t>
  </si>
  <si>
    <t xml:space="preserve">Exodus 3:10</t>
  </si>
  <si>
    <t xml:space="preserve">Moses</t>
  </si>
  <si>
    <t xml:space="preserve">Commission / Deliverance</t>
  </si>
  <si>
    <t xml:space="preserve">God will certainly be with Moses</t>
  </si>
  <si>
    <t xml:space="preserve">Exodus 3:12</t>
  </si>
  <si>
    <t xml:space="preserve">Israel will serve God on this mountain as the sign</t>
  </si>
  <si>
    <t xml:space="preserve">Sign</t>
  </si>
  <si>
    <t xml:space="preserve">God will bring Israel up out of affliction into a land flowing with milk and honey</t>
  </si>
  <si>
    <t xml:space="preserve">Exodus 3:17</t>
  </si>
  <si>
    <t xml:space="preserve">God will stretch out His hand, strike Egypt with wonders, and after that Pharaoh will let them go</t>
  </si>
  <si>
    <t xml:space="preserve">Exodus 3:20</t>
  </si>
  <si>
    <t xml:space="preserve">Moses / Israel</t>
  </si>
  <si>
    <t xml:space="preserve">God will give Israel favor with the Egyptians; they will not go out empty-handed</t>
  </si>
  <si>
    <t xml:space="preserve">Exodus 3:21-22</t>
  </si>
  <si>
    <t xml:space="preserve">God will be with Moses' mouth and teach him what to say</t>
  </si>
  <si>
    <t xml:space="preserve">Exodus 4:12</t>
  </si>
  <si>
    <t xml:space="preserve">Wisdom / Presence</t>
  </si>
  <si>
    <t xml:space="preserve">God will be with the mouths of Moses and Aaron and teach them what to do</t>
  </si>
  <si>
    <t xml:space="preserve">Exodus 4:15</t>
  </si>
  <si>
    <t xml:space="preserve">Moses / Aaron</t>
  </si>
  <si>
    <t xml:space="preserve">Wisdom</t>
  </si>
  <si>
    <t xml:space="preserve">God will bring Israel out from under the burdens of Egypt</t>
  </si>
  <si>
    <t xml:space="preserve">Exodus 6:6</t>
  </si>
  <si>
    <t xml:space="preserve">God will rescue Israel from bondage</t>
  </si>
  <si>
    <t xml:space="preserve">God will redeem Israel with an outstretched arm and great judgments</t>
  </si>
  <si>
    <t xml:space="preserve">God will take Israel as His people and be their God</t>
  </si>
  <si>
    <t xml:space="preserve">Exodus 6:7</t>
  </si>
  <si>
    <t xml:space="preserve">God will bring Israel into the land He swore to Abraham, Isaac, and Jacob and give it as a heritage</t>
  </si>
  <si>
    <t xml:space="preserve">Exodus 6:8</t>
  </si>
  <si>
    <t xml:space="preserve">Land / Inheritance</t>
  </si>
  <si>
    <t xml:space="preserve">God will set apart Goshen so no swarms of flies are there, making a difference between His people and Egypt</t>
  </si>
  <si>
    <t xml:space="preserve">Exodus 8:22-23</t>
  </si>
  <si>
    <t xml:space="preserve">Pharaoh / Israel</t>
  </si>
  <si>
    <t xml:space="preserve">The LORD will make a difference between Israel's livestock and Egypt's; nothing of Israel's shall die</t>
  </si>
  <si>
    <t xml:space="preserve">Exodus 9:4</t>
  </si>
  <si>
    <t xml:space="preserve">When God sees the blood, He will pass over; the plague shall not destroy those under it</t>
  </si>
  <si>
    <t xml:space="preserve">Exodus 12:13</t>
  </si>
  <si>
    <t xml:space="preserve">Redemption / Protection</t>
  </si>
  <si>
    <t xml:space="preserve">The LORD will not allow the destroyer to enter houses marked by the blood</t>
  </si>
  <si>
    <t xml:space="preserve">Exodus 12:23</t>
  </si>
  <si>
    <t xml:space="preserve">Israel will see the salvation of the LORD; the LORD will fight for them</t>
  </si>
  <si>
    <t xml:space="preserve">Exodus 14:13-14</t>
  </si>
  <si>
    <t xml:space="preserve">God (through Moses)</t>
  </si>
  <si>
    <t xml:space="preserve">Deliverance / Victory</t>
  </si>
  <si>
    <t xml:space="preserve">If Israel diligently heeds God's voice, He will put none of Egypt's diseases on them, for He is the LORD who heals</t>
  </si>
  <si>
    <t xml:space="preserve">Exodus 15:26</t>
  </si>
  <si>
    <t xml:space="preserve">Healing</t>
  </si>
  <si>
    <t xml:space="preserve">God will rain bread from heaven for Israel</t>
  </si>
  <si>
    <t xml:space="preserve">Exodus 16:4</t>
  </si>
  <si>
    <t xml:space="preserve">At twilight Israel shall eat meat, and in the morning be filled with bread, and know the LORD their God</t>
  </si>
  <si>
    <t xml:space="preserve">Exodus 16:12</t>
  </si>
  <si>
    <t xml:space="preserve">If Israel obeys God's voice and keeps His covenant, they shall be His special treasure, a kingdom of priests and a holy nation</t>
  </si>
  <si>
    <t xml:space="preserve">Exodus 19:5-6</t>
  </si>
  <si>
    <t xml:space="preserve">Covenant / Sanctification</t>
  </si>
  <si>
    <t xml:space="preserve">God shows mercy to thousands who love Him and keep His commandments</t>
  </si>
  <si>
    <t xml:space="preserve">Exodus 20:6</t>
  </si>
  <si>
    <t xml:space="preserve">Israel / All who love Him</t>
  </si>
  <si>
    <t xml:space="preserve">Honor your father and mother, that your days may be long upon the land</t>
  </si>
  <si>
    <t xml:space="preserve">Exodus 20:12</t>
  </si>
  <si>
    <t xml:space="preserve">Blessing / Land</t>
  </si>
  <si>
    <t xml:space="preserve">In every place where God records His name, He will come to His people and bless them</t>
  </si>
  <si>
    <t xml:space="preserve">Exodus 20:24</t>
  </si>
  <si>
    <t xml:space="preserve">God sends His Angel before Israel to keep them in the way and bring them into the prepared place</t>
  </si>
  <si>
    <t xml:space="preserve">Exodus 23:20</t>
  </si>
  <si>
    <t xml:space="preserve">Guidance / Protection</t>
  </si>
  <si>
    <t xml:space="preserve">If Israel obeys His voice, God will be an enemy to their enemies</t>
  </si>
  <si>
    <t xml:space="preserve">Exodus 23:22</t>
  </si>
  <si>
    <t xml:space="preserve">Protection / Victory</t>
  </si>
  <si>
    <t xml:space="preserve">Serve the LORD, and He will bless your bread and water and take sickness away from your midst</t>
  </si>
  <si>
    <t xml:space="preserve">Exodus 23:25</t>
  </si>
  <si>
    <t xml:space="preserve">Provision / Healing</t>
  </si>
  <si>
    <t xml:space="preserve">No one shall miscarry or be barren; God will fulfill the number of their days</t>
  </si>
  <si>
    <t xml:space="preserve">Exodus 23:26</t>
  </si>
  <si>
    <t xml:space="preserve">God will send His fear and hornets before Israel and drive out their enemies</t>
  </si>
  <si>
    <t xml:space="preserve">Exodus 23:27-28</t>
  </si>
  <si>
    <t xml:space="preserve">Little by little God will drive out the inhabitants until Israel has increased and inherits the land</t>
  </si>
  <si>
    <t xml:space="preserve">Exodus 23:30</t>
  </si>
  <si>
    <t xml:space="preserve">Land / Victory</t>
  </si>
  <si>
    <t xml:space="preserve">God will set Israel's borders from the Red Sea to the Euphrates and deliver the inhabitants into their hand</t>
  </si>
  <si>
    <t xml:space="preserve">Exodus 23:31</t>
  </si>
  <si>
    <t xml:space="preserve">God will dwell among the children of Israel and be their God</t>
  </si>
  <si>
    <t xml:space="preserve">Exodus 29:45</t>
  </si>
  <si>
    <t xml:space="preserve">God's Angel shall go before Israel; in the day He visits, He will visit their sin upon them</t>
  </si>
  <si>
    <t xml:space="preserve">Exodus 32:34</t>
  </si>
  <si>
    <t xml:space="preserve">Guidance / Judgment</t>
  </si>
  <si>
    <t xml:space="preserve">God's Presence will go with Moses, and He will give him rest</t>
  </si>
  <si>
    <t xml:space="preserve">Exodus 33:14</t>
  </si>
  <si>
    <t xml:space="preserve">Presence / Peace</t>
  </si>
  <si>
    <t xml:space="preserve">God will make all His goodness pass before Moses and will be gracious to whom He will be gracious</t>
  </si>
  <si>
    <t xml:space="preserve">Exodus 33:19</t>
  </si>
  <si>
    <t xml:space="preserve">Grace / Mercy</t>
  </si>
  <si>
    <t xml:space="preserve">The LORD is merciful and gracious, longsuffering, abounding in goodness and truth, keeping mercy for thousands, forgiving iniquity — yet by no means clearing the guilty</t>
  </si>
  <si>
    <t xml:space="preserve">Exodus 34:6-7</t>
  </si>
  <si>
    <t xml:space="preserve">Mercy / Grace / Judgment</t>
  </si>
  <si>
    <t xml:space="preserve">God will make a covenant and do marvels never before done in all the earth</t>
  </si>
  <si>
    <t xml:space="preserve">Exodus 34:10</t>
  </si>
  <si>
    <t xml:space="preserve">God will drive out the Amorite, Canaanite, Hittite, Perizzite, Hivite, and Jebusite before Israel</t>
  </si>
  <si>
    <t xml:space="preserve">Exodus 34:11</t>
  </si>
  <si>
    <t xml:space="preserve">Victory / Land</t>
  </si>
  <si>
    <t xml:space="preserve">God will cast out the nations, enlarge Israel's borders, and no one will covet their land when they appear before Him</t>
  </si>
  <si>
    <t xml:space="preserve">Exodus 34:24</t>
  </si>
  <si>
    <t xml:space="preserve">Protection / Land</t>
  </si>
  <si>
    <t xml:space="preserve">If Israel walks in God's statutes, He will give rain in its season, and the land shall yield its produce</t>
  </si>
  <si>
    <t xml:space="preserve">Leviticus 26:3-4</t>
  </si>
  <si>
    <t xml:space="preserve">Israel's threshing shall last to vintage; they shall eat bread to the full and dwell safely</t>
  </si>
  <si>
    <t xml:space="preserve">Leviticus 26:5</t>
  </si>
  <si>
    <t xml:space="preserve">Provision / Peace</t>
  </si>
  <si>
    <t xml:space="preserve">God will give peace in the land; they will lie down and none will make them afraid</t>
  </si>
  <si>
    <t xml:space="preserve">Leviticus 26:6</t>
  </si>
  <si>
    <t xml:space="preserve">God will rid the land of evil beasts, and the sword will not go through the land</t>
  </si>
  <si>
    <t xml:space="preserve">Israel will chase their enemies; five shall chase a hundred, and a hundred put ten thousand to flight</t>
  </si>
  <si>
    <t xml:space="preserve">Leviticus 26:7-8</t>
  </si>
  <si>
    <t xml:space="preserve">God will look on Israel with favor, make them fruitful, multiply them, and confirm His covenant</t>
  </si>
  <si>
    <t xml:space="preserve">Leviticus 26:9</t>
  </si>
  <si>
    <t xml:space="preserve">Blessing / Covenant</t>
  </si>
  <si>
    <t xml:space="preserve">God will set His tabernacle among them, and His soul shall not abhor them</t>
  </si>
  <si>
    <t xml:space="preserve">Leviticus 26:11</t>
  </si>
  <si>
    <t xml:space="preserve">God will walk among them, be their God, and they shall be His people</t>
  </si>
  <si>
    <t xml:space="preserve">Leviticus 26:12</t>
  </si>
  <si>
    <t xml:space="preserve">Presence / Covenant</t>
  </si>
  <si>
    <t xml:space="preserve">God broke the bands of their yoke and made them walk upright</t>
  </si>
  <si>
    <t xml:space="preserve">Leviticus 26:13</t>
  </si>
  <si>
    <t xml:space="preserve">If Israel despises God's statutes, He will appoint terror, defeat, drought, wild beasts, sword, pestilence, and scattering</t>
  </si>
  <si>
    <t xml:space="preserve">Leviticus 26:14-39</t>
  </si>
  <si>
    <t xml:space="preserve">If they confess their iniquity and their hearts are humbled, God will remember His covenant with Jacob, Isaac, and Abraham, and remember the land</t>
  </si>
  <si>
    <t xml:space="preserve">Leviticus 26:40-42</t>
  </si>
  <si>
    <t xml:space="preserve">Restoration / Covenant</t>
  </si>
  <si>
    <t xml:space="preserve">Even in the land of their enemies God will not cast them away nor abhor them to destroy them utterly or break His covenant</t>
  </si>
  <si>
    <t xml:space="preserve">Leviticus 26:44</t>
  </si>
  <si>
    <t xml:space="preserve">Faithfulness / Covenant</t>
  </si>
  <si>
    <t xml:space="preserve">For their sakes God will remember the covenant of their ancestors whom He brought out of Egypt</t>
  </si>
  <si>
    <t xml:space="preserve">Leviticus 26:45</t>
  </si>
  <si>
    <t xml:space="preserve">Covenant / Mercy</t>
  </si>
  <si>
    <t xml:space="preserve">The LORD will bless and keep Israel, make His face shine on them, be gracious, lift up His countenance, and give peace — for He puts His name on them and will bless them</t>
  </si>
  <si>
    <t xml:space="preserve">Numbers 6:24-27</t>
  </si>
  <si>
    <t xml:space="preserve">Blessing / Peace / Presence</t>
  </si>
  <si>
    <t xml:space="preserve">When Israel blows the trumpets in war, they will be remembered before the LORD and saved from their enemies</t>
  </si>
  <si>
    <t xml:space="preserve">Numbers 10:9</t>
  </si>
  <si>
    <t xml:space="preserve">God will give Israel meat for a whole month until it becomes loathsome, because they despised the LORD</t>
  </si>
  <si>
    <t xml:space="preserve">Numbers 11:18-20</t>
  </si>
  <si>
    <t xml:space="preserve">Provision / Judgment</t>
  </si>
  <si>
    <t xml:space="preserve">If there is a prophet, God will make Himself known in a vision and speak in a dream</t>
  </si>
  <si>
    <t xml:space="preserve">Numbers 12:6</t>
  </si>
  <si>
    <t xml:space="preserve">Aaron / Miriam</t>
  </si>
  <si>
    <t xml:space="preserve">Revelation</t>
  </si>
  <si>
    <t xml:space="preserve">God pardons Israel at Moses' word, but the men who tested Him ten times shall not see the land</t>
  </si>
  <si>
    <t xml:space="preserve">Numbers 14:20-23</t>
  </si>
  <si>
    <t xml:space="preserve">Mercy / Judgment</t>
  </si>
  <si>
    <t xml:space="preserve">Because Caleb has a different spirit and fully followed God, He will bring him into the land, and his descendants shall inherit it</t>
  </si>
  <si>
    <t xml:space="preserve">Numbers 14:24</t>
  </si>
  <si>
    <t xml:space="preserve">Caleb</t>
  </si>
  <si>
    <t xml:space="preserve">The unbelieving generation will fall in the wilderness, but their little ones God will bring in to know the land</t>
  </si>
  <si>
    <t xml:space="preserve">Numbers 14:28-31</t>
  </si>
  <si>
    <t xml:space="preserve">Judgment / Mercy</t>
  </si>
  <si>
    <t xml:space="preserve">God will give Israel the land of their habitations</t>
  </si>
  <si>
    <t xml:space="preserve">Numbers 15:2</t>
  </si>
  <si>
    <t xml:space="preserve">God Himself is Aaron's portion and inheritance among the children of Israel</t>
  </si>
  <si>
    <t xml:space="preserve">Numbers 18:20</t>
  </si>
  <si>
    <t xml:space="preserve">Aaron / Priests</t>
  </si>
  <si>
    <t xml:space="preserve">Inheritance / Presence</t>
  </si>
  <si>
    <t xml:space="preserve">Everyone bitten who looks at the bronze serpent shall live</t>
  </si>
  <si>
    <t xml:space="preserve">Numbers 21:8</t>
  </si>
  <si>
    <t xml:space="preserve">Healing / Salvation</t>
  </si>
  <si>
    <t xml:space="preserve">God has delivered Og king of Bashan into Israel's hand</t>
  </si>
  <si>
    <t xml:space="preserve">Numbers 21:34</t>
  </si>
  <si>
    <t xml:space="preserve">God is not a man that He should lie; what He has spoken He will make good</t>
  </si>
  <si>
    <t xml:space="preserve">Numbers 23:19</t>
  </si>
  <si>
    <t xml:space="preserve">God (through Balaam)</t>
  </si>
  <si>
    <t xml:space="preserve">Israel / Balak</t>
  </si>
  <si>
    <t xml:space="preserve">A Star shall come out of Jacob; a Scepter shall rise out of Israel</t>
  </si>
  <si>
    <t xml:space="preserve">Numbers 24:17</t>
  </si>
  <si>
    <t xml:space="preserve">Israel / Nations</t>
  </si>
  <si>
    <t xml:space="preserve">God gives Phinehas His covenant of peace — an everlasting priesthood for him and his descendants</t>
  </si>
  <si>
    <t xml:space="preserve">Numbers 25:12-13</t>
  </si>
  <si>
    <t xml:space="preserve">Phinehas</t>
  </si>
  <si>
    <t xml:space="preserve">Covenant / Priesthood</t>
  </si>
  <si>
    <t xml:space="preserve">Moses will see the land and then be gathered to his people</t>
  </si>
  <si>
    <t xml:space="preserve">Numbers 27:12-13</t>
  </si>
  <si>
    <t xml:space="preserve">God dwells among the children of Israel</t>
  </si>
  <si>
    <t xml:space="preserve">Numbers 35:34</t>
  </si>
  <si>
    <t xml:space="preserve">The LORD who goes before Israel will fight for them</t>
  </si>
  <si>
    <t xml:space="preserve">Deuteronomy 1:30</t>
  </si>
  <si>
    <t xml:space="preserve">This day God begins to put the dread and fear of Israel upon the nations</t>
  </si>
  <si>
    <t xml:space="preserve">Deuteronomy 2:25</t>
  </si>
  <si>
    <t xml:space="preserve">If from there you seek the LORD your God, you will find Him if you seek Him with all your heart and soul</t>
  </si>
  <si>
    <t xml:space="preserve">Deuteronomy 4:29</t>
  </si>
  <si>
    <t xml:space="preserve">Restoration / Presence</t>
  </si>
  <si>
    <t xml:space="preserve">The LORD your God is a merciful God; He will not forsake you nor destroy you nor forget the covenant of your fathers</t>
  </si>
  <si>
    <t xml:space="preserve">Deuteronomy 4:31</t>
  </si>
  <si>
    <t xml:space="preserve">Mercy / Faithfulness</t>
  </si>
  <si>
    <t xml:space="preserve">Keep His statutes that it may go well with you and your children, and that you may prolong your days in the land</t>
  </si>
  <si>
    <t xml:space="preserve">Deuteronomy 4:40</t>
  </si>
  <si>
    <t xml:space="preserve">Blessing / Life</t>
  </si>
  <si>
    <t xml:space="preserve">2</t>
  </si>
  <si>
    <t xml:space="preserve">Oh that they had such a heart to fear Me, that it might be well with them and their children forever</t>
  </si>
  <si>
    <t xml:space="preserve">Deuteronomy 5:29</t>
  </si>
  <si>
    <t xml:space="preserve">Walk in all God's ways that you may live, that it may be well with you, and that you may prolong your days in the land</t>
  </si>
  <si>
    <t xml:space="preserve">Deuteronomy 5:33</t>
  </si>
  <si>
    <t xml:space="preserve">Life / Blessing</t>
  </si>
  <si>
    <t xml:space="preserve">Observe to do God's word that it may be well with you and that you may multiply greatly in the land flowing with milk and honey</t>
  </si>
  <si>
    <t xml:space="preserve">Deuteronomy 6:3</t>
  </si>
  <si>
    <t xml:space="preserve">The LORD keeps covenant and mercy for a thousand generations with those who love Him and keep His commandments</t>
  </si>
  <si>
    <t xml:space="preserve">Deuteronomy 7:9</t>
  </si>
  <si>
    <t xml:space="preserve">God will love you, bless you, multiply you, and bless the fruit of your womb, your land, grain, wine, oil, and herds</t>
  </si>
  <si>
    <t xml:space="preserve">Deuteronomy 7:13</t>
  </si>
  <si>
    <t xml:space="preserve">Blessing / Provision</t>
  </si>
  <si>
    <t xml:space="preserve">You shall be blessed above all peoples; there shall not be male or female barren among you or your livestock</t>
  </si>
  <si>
    <t xml:space="preserve">Deuteronomy 7:14</t>
  </si>
  <si>
    <t xml:space="preserve">The LORD will take away from you all sickness and put none of Egypt's diseases on you</t>
  </si>
  <si>
    <t xml:space="preserve">Deuteronomy 7:15</t>
  </si>
  <si>
    <t xml:space="preserve">The LORD will drive out the nations little by little and deliver them to you with great confusion until destroyed</t>
  </si>
  <si>
    <t xml:space="preserve">Deuteronomy 7:22-23</t>
  </si>
  <si>
    <t xml:space="preserve">The LORD is bringing you into a good land of brooks, fountains, and springs</t>
  </si>
  <si>
    <t xml:space="preserve">Deuteronomy 8:7</t>
  </si>
  <si>
    <t xml:space="preserve">Land / Provision</t>
  </si>
  <si>
    <t xml:space="preserve">The LORD gives you power to get wealth, that He may establish His covenant which He swore to your fathers</t>
  </si>
  <si>
    <t xml:space="preserve">Deuteronomy 8:18</t>
  </si>
  <si>
    <t xml:space="preserve">Provision / Covenant</t>
  </si>
  <si>
    <t xml:space="preserve">He administers justice for the fatherless and the widow, and loves the stranger, giving him food and clothing</t>
  </si>
  <si>
    <t xml:space="preserve">Deuteronomy 10:18</t>
  </si>
  <si>
    <t xml:space="preserve">The fatherless / Widows / Strangers</t>
  </si>
  <si>
    <t xml:space="preserve">Justice / Provision</t>
  </si>
  <si>
    <t xml:space="preserve">If you love and serve God with all your heart, He will give the early and latter rain and grass for your livestock, and you will eat and be filled</t>
  </si>
  <si>
    <t xml:space="preserve">Deuteronomy 11:13-15</t>
  </si>
  <si>
    <t xml:space="preserve">If you keep His commandments, God will drive out nations greater than you; every place your foot treads shall be yours; no man shall stand against you</t>
  </si>
  <si>
    <t xml:space="preserve">Deuteronomy 11:22-25</t>
  </si>
  <si>
    <t xml:space="preserve">God will give you rest from all your enemies round about, so that you dwell in safety</t>
  </si>
  <si>
    <t xml:space="preserve">Deuteronomy 12:10</t>
  </si>
  <si>
    <t xml:space="preserve">There will be no poor among you, for the LORD will greatly bless you in the land</t>
  </si>
  <si>
    <t xml:space="preserve">Deuteronomy 15:4</t>
  </si>
  <si>
    <t xml:space="preserve">The LORD will bless you as He promised; you shall lend to many nations and not borrow; you shall reign over many nations</t>
  </si>
  <si>
    <t xml:space="preserve">Deuteronomy 15:6</t>
  </si>
  <si>
    <t xml:space="preserve">Provision / Victory</t>
  </si>
  <si>
    <t xml:space="preserve">The LORD your God will raise up for you a Prophet like Moses from your midst — Him you shall hear</t>
  </si>
  <si>
    <t xml:space="preserve">Deuteronomy 18:15</t>
  </si>
  <si>
    <t xml:space="preserve">God will raise up a Prophet, put His words in His mouth, and He shall speak all that God commands</t>
  </si>
  <si>
    <t xml:space="preserve">Deuteronomy 18:18</t>
  </si>
  <si>
    <t xml:space="preserve">Messiah / Revelation</t>
  </si>
  <si>
    <t xml:space="preserve">Whoever will not hear the words the Prophet speaks in God's name, God will require it of him</t>
  </si>
  <si>
    <t xml:space="preserve">Deuteronomy 18:19</t>
  </si>
  <si>
    <t xml:space="preserve">The LORD your God goes with you to fight for you against your enemies, to save you</t>
  </si>
  <si>
    <t xml:space="preserve">Deuteronomy 20:4</t>
  </si>
  <si>
    <t xml:space="preserve">God (through the priest)</t>
  </si>
  <si>
    <t xml:space="preserve">Presence / Victory</t>
  </si>
  <si>
    <t xml:space="preserve">The LORD walks in the midst of your camp to deliver you and give your enemies over to you</t>
  </si>
  <si>
    <t xml:space="preserve">Deuteronomy 23:14</t>
  </si>
  <si>
    <t xml:space="preserve">The LORD has proclaimed you to be His special people, to set you high above all nations in praise, name, and honor — a holy people to the LORD</t>
  </si>
  <si>
    <t xml:space="preserve">Deuteronomy 26:18-19</t>
  </si>
  <si>
    <t xml:space="preserve">Identity / Sanctification</t>
  </si>
  <si>
    <t xml:space="preserve">If you diligently obey the LORD, He will set you high above all nations, and all these blessings shall overtake you</t>
  </si>
  <si>
    <t xml:space="preserve">Deuteronomy 28:1-2</t>
  </si>
  <si>
    <t xml:space="preserve">You shall be blessed in the city</t>
  </si>
  <si>
    <t xml:space="preserve">Deuteronomy 28:3</t>
  </si>
  <si>
    <t xml:space="preserve">You shall be blessed in the field</t>
  </si>
  <si>
    <t xml:space="preserve">Blessed shall be the fruit of your body</t>
  </si>
  <si>
    <t xml:space="preserve">Deuteronomy 28:4</t>
  </si>
  <si>
    <t xml:space="preserve">Blessing / Family</t>
  </si>
  <si>
    <t xml:space="preserve">Blessed shall be the produce of your ground</t>
  </si>
  <si>
    <t xml:space="preserve">Blessed shall be the increase of your herds and flocks</t>
  </si>
  <si>
    <t xml:space="preserve">Blessed shall be your basket and your kneading bowl</t>
  </si>
  <si>
    <t xml:space="preserve">Deuteronomy 28:5</t>
  </si>
  <si>
    <t xml:space="preserve">Blessed shall you be when you come in</t>
  </si>
  <si>
    <t xml:space="preserve">Deuteronomy 28:6</t>
  </si>
  <si>
    <t xml:space="preserve">Blessed shall you be when you go out</t>
  </si>
  <si>
    <t xml:space="preserve">The LORD will cause your enemies to be defeated before your face; they will flee seven ways</t>
  </si>
  <si>
    <t xml:space="preserve">Deuteronomy 28:7</t>
  </si>
  <si>
    <t xml:space="preserve">The LORD will command the blessing on your storehouses</t>
  </si>
  <si>
    <t xml:space="preserve">Deuteronomy 28:8</t>
  </si>
  <si>
    <t xml:space="preserve">The LORD will command the blessing on all to which you set your hand</t>
  </si>
  <si>
    <t xml:space="preserve">The LORD will bless you in the land He is giving you</t>
  </si>
  <si>
    <t xml:space="preserve">The LORD will establish you as a holy people to Himself if you keep His commandments</t>
  </si>
  <si>
    <t xml:space="preserve">Deuteronomy 28:9</t>
  </si>
  <si>
    <t xml:space="preserve">Sanctification</t>
  </si>
  <si>
    <t xml:space="preserve">All peoples of the earth shall see that you are called by the name of the LORD and be afraid of you</t>
  </si>
  <si>
    <t xml:space="preserve">Deuteronomy 28:10</t>
  </si>
  <si>
    <t xml:space="preserve">The LORD will grant you plenty of goods, in the fruit of your body, your livestock, and your ground</t>
  </si>
  <si>
    <t xml:space="preserve">Deuteronomy 28:11</t>
  </si>
  <si>
    <t xml:space="preserve">The LORD will open to you His good treasure, the heavens, to give the rain in its season</t>
  </si>
  <si>
    <t xml:space="preserve">Deuteronomy 28:12</t>
  </si>
  <si>
    <t xml:space="preserve">The LORD will bless all the work of your hand</t>
  </si>
  <si>
    <t xml:space="preserve">You shall lend to many nations, but you shall not borrow</t>
  </si>
  <si>
    <t xml:space="preserve">The LORD will make you the head and not the tail</t>
  </si>
  <si>
    <t xml:space="preserve">Deuteronomy 28:13</t>
  </si>
  <si>
    <t xml:space="preserve">You shall be above only, and not be beneath</t>
  </si>
  <si>
    <t xml:space="preserve">If you do not obey, curses will overtake you — defeat, disease, drought, exile, and scattering among all nations</t>
  </si>
  <si>
    <t xml:space="preserve">Deuteronomy 28:15-68</t>
  </si>
  <si>
    <t xml:space="preserve">When you return to the LORD in exile and obey His voice, He will bring you back from captivity, have compassion, and gather you from all the nations</t>
  </si>
  <si>
    <t xml:space="preserve">Deuteronomy 30:1-3</t>
  </si>
  <si>
    <t xml:space="preserve">If any are driven to the farthest parts under heaven, from there the LORD will gather you and bring you back</t>
  </si>
  <si>
    <t xml:space="preserve">Deuteronomy 30:4</t>
  </si>
  <si>
    <t xml:space="preserve">The LORD will bring you to the land of your fathers, and you shall possess it; He will prosper and multiply you more than your fathers</t>
  </si>
  <si>
    <t xml:space="preserve">Deuteronomy 30:5</t>
  </si>
  <si>
    <t xml:space="preserve">The LORD your God will circumcise your heart and the heart of your descendants, to love Him with all your heart and soul, that you may live</t>
  </si>
  <si>
    <t xml:space="preserve">Deuteronomy 30:6</t>
  </si>
  <si>
    <t xml:space="preserve">New Heart / Sanctification</t>
  </si>
  <si>
    <t xml:space="preserve">The LORD will make you abound in all the work of your hand; He will again rejoice over you for good</t>
  </si>
  <si>
    <t xml:space="preserve">Deuteronomy 30:9</t>
  </si>
  <si>
    <t xml:space="preserve">Blessing / Restoration</t>
  </si>
  <si>
    <t xml:space="preserve">The LORD goes with you; He will not leave you nor forsake you</t>
  </si>
  <si>
    <t xml:space="preserve">Deuteronomy 31:6</t>
  </si>
  <si>
    <t xml:space="preserve">Presence / Faithfulness</t>
  </si>
  <si>
    <t xml:space="preserve">The LORD Himself goes before you and will be with you; He will not leave you nor forsake you; do not fear</t>
  </si>
  <si>
    <t xml:space="preserve">Deuteronomy 31:8</t>
  </si>
  <si>
    <t xml:space="preserve">Joshua / Israel</t>
  </si>
  <si>
    <t xml:space="preserve">Be strong and of good courage; you shall bring Israel into the land I swore to them, and I will be with you</t>
  </si>
  <si>
    <t xml:space="preserve">Deuteronomy 31:23</t>
  </si>
  <si>
    <t xml:space="preserve">Joshua</t>
  </si>
  <si>
    <t xml:space="preserve">Presence / Commission</t>
  </si>
  <si>
    <t xml:space="preserve">Vengeance belongs to God; He will judge His people and have compassion on His servants</t>
  </si>
  <si>
    <t xml:space="preserve">Deuteronomy 32:35-36</t>
  </si>
  <si>
    <t xml:space="preserve">God (through Moses' song)</t>
  </si>
  <si>
    <t xml:space="preserve">Justice / Mercy</t>
  </si>
  <si>
    <t xml:space="preserve">God will avenge the blood of His servants and provide atonement for His land and His people</t>
  </si>
  <si>
    <t xml:space="preserve">Deuteronomy 32:43</t>
  </si>
  <si>
    <t xml:space="preserve">Justice / Atonement</t>
  </si>
  <si>
    <t xml:space="preserve">The beloved of the LORD shall dwell in safety by Him; the LORD shall cover him all the day long, and he shall dwell between His shoulders</t>
  </si>
  <si>
    <t xml:space="preserve">Deuteronomy 33:12</t>
  </si>
  <si>
    <t xml:space="preserve">God (through Moses' blessing)</t>
  </si>
  <si>
    <t xml:space="preserve">Benjamin / The beloved</t>
  </si>
  <si>
    <t xml:space="preserve">As your days, so shall your strength be</t>
  </si>
  <si>
    <t xml:space="preserve">Deuteronomy 33:25</t>
  </si>
  <si>
    <t xml:space="preserve">Asher / God's people</t>
  </si>
  <si>
    <t xml:space="preserve">Strength</t>
  </si>
  <si>
    <t xml:space="preserve">There is no one like the God of Jeshurun, who rides the heavens to help you; He will thrust out the enemy from before you</t>
  </si>
  <si>
    <t xml:space="preserve">Deuteronomy 33:26-27</t>
  </si>
  <si>
    <t xml:space="preserve">Help / Victory</t>
  </si>
  <si>
    <t xml:space="preserve">The eternal God is your refuge, and underneath are the everlasting arms; He will thrust out the enemy before you</t>
  </si>
  <si>
    <t xml:space="preserve">Deuteronomy 33:27</t>
  </si>
  <si>
    <t xml:space="preserve">Israel shall dwell in safety, alone, in a land of grain and new wine; happy are you, O Israel — a people saved by the LORD, the shield of your help</t>
  </si>
  <si>
    <t xml:space="preserve">Deuteronomy 33:28-29</t>
  </si>
  <si>
    <t xml:space="preserve">Peace / Salvation</t>
  </si>
  <si>
    <t xml:space="preserve">Every place the sole of your foot treads I have given you, as I said to Moses</t>
  </si>
  <si>
    <t xml:space="preserve">Joshua 1:3</t>
  </si>
  <si>
    <t xml:space="preserve">No man shall stand before you all the days of your life; as I was with Moses, so I will be with you</t>
  </si>
  <si>
    <t xml:space="preserve">Joshua 1:5</t>
  </si>
  <si>
    <t xml:space="preserve">I will not leave you nor forsake you</t>
  </si>
  <si>
    <t xml:space="preserve">If you meditate on this Book of the Law and do it, you will make your way prosperous and have good success</t>
  </si>
  <si>
    <t xml:space="preserve">Joshua 1:8</t>
  </si>
  <si>
    <t xml:space="preserve">Blessing / Wisdom</t>
  </si>
  <si>
    <t xml:space="preserve">Be strong and courageous; the LORD your God is with you wherever you go</t>
  </si>
  <si>
    <t xml:space="preserve">Joshua 1:9</t>
  </si>
  <si>
    <t xml:space="preserve">This day God will begin to exalt Joshua in the sight of all Israel, that they may know He is with him as He was with Moses</t>
  </si>
  <si>
    <t xml:space="preserve">Joshua 3:7</t>
  </si>
  <si>
    <t xml:space="preserve">God has given Jericho into Joshua's hand, its king, and its mighty men of valor</t>
  </si>
  <si>
    <t xml:space="preserve">Joshua 6:2</t>
  </si>
  <si>
    <t xml:space="preserve">God has given into Joshua's hand the king of Ai, his people, city, and land</t>
  </si>
  <si>
    <t xml:space="preserve">Joshua 8:1</t>
  </si>
  <si>
    <t xml:space="preserve">Do not fear the Amorite kings; God has delivered them into your hand; not a man shall stand before you</t>
  </si>
  <si>
    <t xml:space="preserve">Joshua 10:8</t>
  </si>
  <si>
    <t xml:space="preserve">By this time tomorrow God will deliver the northern coalition slain before Israel</t>
  </si>
  <si>
    <t xml:space="preserve">Joshua 11:6</t>
  </si>
  <si>
    <t xml:space="preserve">God Himself will drive out the inhabitants of the mountains and Sidon before Israel</t>
  </si>
  <si>
    <t xml:space="preserve">Joshua 13:6</t>
  </si>
  <si>
    <t xml:space="preserve">Not a word failed of any good thing the LORD had spoken to Israel; all came to pass</t>
  </si>
  <si>
    <t xml:space="preserve">Joshua 21:45</t>
  </si>
  <si>
    <t xml:space="preserve">God (testimony of fulfillment)</t>
  </si>
  <si>
    <t xml:space="preserve">One man of you shall chase a thousand, for the LORD fights for you as He promised</t>
  </si>
  <si>
    <t xml:space="preserve">Joshua 23:10</t>
  </si>
  <si>
    <t xml:space="preserve">God (through Joshua)</t>
  </si>
  <si>
    <t xml:space="preserve">Judah shall go up first; God has delivered the land into his hand</t>
  </si>
  <si>
    <t xml:space="preserve">Judges 1:2</t>
  </si>
  <si>
    <t xml:space="preserve">Judah / Israel</t>
  </si>
  <si>
    <t xml:space="preserve">The Angel of the LORD declares: I will never break My covenant with you</t>
  </si>
  <si>
    <t xml:space="preserve">Judges 2:1</t>
  </si>
  <si>
    <t xml:space="preserve">Covenant / Faithfulness</t>
  </si>
  <si>
    <t xml:space="preserve">God will deploy Sisera at the River Kishon and deliver him into Barak's hand</t>
  </si>
  <si>
    <t xml:space="preserve">Judges 4:7</t>
  </si>
  <si>
    <t xml:space="preserve">God (through Deborah)</t>
  </si>
  <si>
    <t xml:space="preserve">Barak</t>
  </si>
  <si>
    <t xml:space="preserve">The LORD is with you, mighty man of valor</t>
  </si>
  <si>
    <t xml:space="preserve">Judges 6:12</t>
  </si>
  <si>
    <t xml:space="preserve">Gideon</t>
  </si>
  <si>
    <t xml:space="preserve">Go in this might of yours; you shall save Israel from the Midianites — have I not sent you?</t>
  </si>
  <si>
    <t xml:space="preserve">Judges 6:14</t>
  </si>
  <si>
    <t xml:space="preserve">Commission / Victory</t>
  </si>
  <si>
    <t xml:space="preserve">Surely I will be with you, and you shall defeat the Midianites as one man</t>
  </si>
  <si>
    <t xml:space="preserve">Judges 6:16</t>
  </si>
  <si>
    <t xml:space="preserve">By the three hundred men who lapped I will save you and deliver the Midianites into your hand</t>
  </si>
  <si>
    <t xml:space="preserve">Judges 7:7</t>
  </si>
  <si>
    <t xml:space="preserve">The barren wife of Manoah will conceive and bear a son who will begin to deliver Israel from the Philistines</t>
  </si>
  <si>
    <t xml:space="preserve">Judges 13:3-5</t>
  </si>
  <si>
    <t xml:space="preserve">Manoah's wife</t>
  </si>
  <si>
    <t xml:space="preserve">Provision / Deliverance</t>
  </si>
  <si>
    <t xml:space="preserve">The LORD repay your work; a full reward be given you by the LORD, under whose wings you have come for refuge</t>
  </si>
  <si>
    <t xml:space="preserve">Ruth 2:12</t>
  </si>
  <si>
    <t xml:space="preserve">God (through Boaz's blessing)</t>
  </si>
  <si>
    <t xml:space="preserve">Ruth</t>
  </si>
  <si>
    <t xml:space="preserve">Reward / Refuge</t>
  </si>
  <si>
    <t xml:space="preserve">Those who honor Me I will honor, and those who despise Me shall be lightly esteemed</t>
  </si>
  <si>
    <t xml:space="preserve">1 Samuel 2:30</t>
  </si>
  <si>
    <t xml:space="preserve">Eli / All</t>
  </si>
  <si>
    <t xml:space="preserve">Blessing / Judgment</t>
  </si>
  <si>
    <t xml:space="preserve">God will raise up a faithful priest who shall do according to what is in His heart, and He will build him a sure house</t>
  </si>
  <si>
    <t xml:space="preserve">1 Samuel 2:35</t>
  </si>
  <si>
    <t xml:space="preserve">Eli / Israel</t>
  </si>
  <si>
    <t xml:space="preserve">Priesthood / Messiah</t>
  </si>
  <si>
    <t xml:space="preserve">God will judge Eli's house forever, and its iniquity shall not be atoned by sacrifice</t>
  </si>
  <si>
    <t xml:space="preserve">1 Samuel 3:11-14</t>
  </si>
  <si>
    <t xml:space="preserve">Samuel (re: Eli)</t>
  </si>
  <si>
    <t xml:space="preserve">Saul shall save God's people from the hand of the Philistines, for God has looked upon His people</t>
  </si>
  <si>
    <t xml:space="preserve">1 Samuel 9:16</t>
  </si>
  <si>
    <t xml:space="preserve">Samuel (re: Saul)</t>
  </si>
  <si>
    <t xml:space="preserve">Do as the occasion demands, for God is with you</t>
  </si>
  <si>
    <t xml:space="preserve">1 Samuel 10:7</t>
  </si>
  <si>
    <t xml:space="preserve">God (through Samuel)</t>
  </si>
  <si>
    <t xml:space="preserve">Saul</t>
  </si>
  <si>
    <t xml:space="preserve">The LORD will not forsake His people, for His great name's sake, because it has pleased Him to make you His people</t>
  </si>
  <si>
    <t xml:space="preserve">1 Samuel 12:22</t>
  </si>
  <si>
    <t xml:space="preserve">The LORD has torn the kingdom of Israel from Saul and given it to a neighbor better than he</t>
  </si>
  <si>
    <t xml:space="preserve">1 Samuel 15:28</t>
  </si>
  <si>
    <t xml:space="preserve">Judgment / Kingdom</t>
  </si>
  <si>
    <t xml:space="preserve">God has provided Himself a king among the sons of Jesse</t>
  </si>
  <si>
    <t xml:space="preserve">1 Samuel 16:1</t>
  </si>
  <si>
    <t xml:space="preserve">Samuel</t>
  </si>
  <si>
    <t xml:space="preserve">Kingdom / Provision</t>
  </si>
  <si>
    <t xml:space="preserve">Arise, go down to Keilah, for I will deliver the Philistines into your hand</t>
  </si>
  <si>
    <t xml:space="preserve">1 Samuel 23:4</t>
  </si>
  <si>
    <t xml:space="preserve">David</t>
  </si>
  <si>
    <t xml:space="preserve">Pursue, for you shall surely overtake them and without fail recover all</t>
  </si>
  <si>
    <t xml:space="preserve">1 Samuel 30:8</t>
  </si>
  <si>
    <t xml:space="preserve">Victory / Restoration</t>
  </si>
  <si>
    <t xml:space="preserve">Go up, for I will doubtless deliver the Philistines into your hand</t>
  </si>
  <si>
    <t xml:space="preserve">2 Samuel 5:19</t>
  </si>
  <si>
    <t xml:space="preserve">God will make David a great name, like the name of the great men of the earth</t>
  </si>
  <si>
    <t xml:space="preserve">2 Samuel 7:9</t>
  </si>
  <si>
    <t xml:space="preserve">God will appoint a place for His people Israel and plant them, that they may dwell in a place of their own and move no more</t>
  </si>
  <si>
    <t xml:space="preserve">2 Samuel 7:10</t>
  </si>
  <si>
    <t xml:space="preserve">Land / Peace</t>
  </si>
  <si>
    <t xml:space="preserve">The LORD will make David a house</t>
  </si>
  <si>
    <t xml:space="preserve">2 Samuel 7:11</t>
  </si>
  <si>
    <t xml:space="preserve">Covenant / Kingdom</t>
  </si>
  <si>
    <t xml:space="preserve">God will set up David's seed after him and establish his kingdom</t>
  </si>
  <si>
    <t xml:space="preserve">2 Samuel 7:12</t>
  </si>
  <si>
    <t xml:space="preserve">Kingdom / Messiah</t>
  </si>
  <si>
    <t xml:space="preserve">David's seed shall build a house for God's name, and God will establish the throne of his kingdom forever</t>
  </si>
  <si>
    <t xml:space="preserve">2 Samuel 7:13</t>
  </si>
  <si>
    <t xml:space="preserve">David / Solomon</t>
  </si>
  <si>
    <t xml:space="preserve">I will be his Father, and he shall be My son; when he sins I will chasten him with the rod of men</t>
  </si>
  <si>
    <t xml:space="preserve">2 Samuel 7:14</t>
  </si>
  <si>
    <t xml:space="preserve">David's seed</t>
  </si>
  <si>
    <t xml:space="preserve">Covenant / Discipline</t>
  </si>
  <si>
    <t xml:space="preserve">My mercy shall not depart from him, as I took it from Saul</t>
  </si>
  <si>
    <t xml:space="preserve">2 Samuel 7:15</t>
  </si>
  <si>
    <t xml:space="preserve">Your house, kingdom, and throne shall be established forever before Me</t>
  </si>
  <si>
    <t xml:space="preserve">2 Samuel 7:16</t>
  </si>
  <si>
    <t xml:space="preserve">The LORD has put away David's sin — he shall not die — but the child born to him shall die</t>
  </si>
  <si>
    <t xml:space="preserve">2 Samuel 12:13-14</t>
  </si>
  <si>
    <t xml:space="preserve">God (through Nathan)</t>
  </si>
  <si>
    <t xml:space="preserve">As for God, His way is perfect; the word of the LORD is proven; He is a shield to all who trust in Him</t>
  </si>
  <si>
    <t xml:space="preserve">2 Samuel 22:31</t>
  </si>
  <si>
    <t xml:space="preserve">God (through David's song)</t>
  </si>
  <si>
    <t xml:space="preserve">All who trust Him</t>
  </si>
  <si>
    <t xml:space="preserve">God gives Solomon a wise and understanding heart, so that there has been and will be none like him</t>
  </si>
  <si>
    <t xml:space="preserve">1 Kings 3:12</t>
  </si>
  <si>
    <t xml:space="preserve">Solomon</t>
  </si>
  <si>
    <t xml:space="preserve">God also gives Solomon what he did not ask — riches and honor above all kings of his days</t>
  </si>
  <si>
    <t xml:space="preserve">1 Kings 3:13</t>
  </si>
  <si>
    <t xml:space="preserve">Provision / Blessing</t>
  </si>
  <si>
    <t xml:space="preserve">If Solomon walks in God's ways as David did, God will lengthen his days</t>
  </si>
  <si>
    <t xml:space="preserve">1 Kings 3:14</t>
  </si>
  <si>
    <t xml:space="preserve">Life</t>
  </si>
  <si>
    <t xml:space="preserve">If Solomon walks in God's statutes, God will perform His word to David, dwell among Israel, and not forsake them</t>
  </si>
  <si>
    <t xml:space="preserve">1 Kings 6:12-13</t>
  </si>
  <si>
    <t xml:space="preserve">Blessed be the LORD who has given rest to Israel; not one word has failed of all His good promise through Moses</t>
  </si>
  <si>
    <t xml:space="preserve">1 Kings 8:56</t>
  </si>
  <si>
    <t xml:space="preserve">God has consecrated the temple; His eyes and heart will be there perpetually</t>
  </si>
  <si>
    <t xml:space="preserve">1 Kings 9:3</t>
  </si>
  <si>
    <t xml:space="preserve">If Solomon walks before God in integrity, He will establish the throne of his kingdom over Israel forever</t>
  </si>
  <si>
    <t xml:space="preserve">1 Kings 9:4-5</t>
  </si>
  <si>
    <t xml:space="preserve">Kingdom</t>
  </si>
  <si>
    <t xml:space="preserve">For David's sake God will not tear away the whole kingdom; one tribe will remain for David and Jerusalem</t>
  </si>
  <si>
    <t xml:space="preserve">1 Kings 11:13</t>
  </si>
  <si>
    <t xml:space="preserve">Mercy / Kingdom</t>
  </si>
  <si>
    <t xml:space="preserve">If Jeroboam heeds God's commands, God will be with him and build him an enduring house as He built for David</t>
  </si>
  <si>
    <t xml:space="preserve">1 Kings 11:38</t>
  </si>
  <si>
    <t xml:space="preserve">God (through Ahijah)</t>
  </si>
  <si>
    <t xml:space="preserve">Jeroboam</t>
  </si>
  <si>
    <t xml:space="preserve">The bin of flour shall not be used up nor the jar of oil run dry until the LORD sends rain</t>
  </si>
  <si>
    <t xml:space="preserve">1 Kings 17:14</t>
  </si>
  <si>
    <t xml:space="preserve">God (through Elijah)</t>
  </si>
  <si>
    <t xml:space="preserve">Widow of Zarephath</t>
  </si>
  <si>
    <t xml:space="preserve">Go present yourself to Ahab, and I will send rain on the earth</t>
  </si>
  <si>
    <t xml:space="preserve">1 Kings 18:1</t>
  </si>
  <si>
    <t xml:space="preserve">Elijah</t>
  </si>
  <si>
    <t xml:space="preserve">God has reserved seven thousand in Israel whose knees have not bowed to Baal</t>
  </si>
  <si>
    <t xml:space="preserve">1 Kings 19:18</t>
  </si>
  <si>
    <t xml:space="preserve">Remnant / Faithfulness</t>
  </si>
  <si>
    <t xml:space="preserve">Tomorrow about this time fine flour and barley will sell cheaply in the gate of Samaria</t>
  </si>
  <si>
    <t xml:space="preserve">2 Kings 7:1</t>
  </si>
  <si>
    <t xml:space="preserve">God (through Elisha)</t>
  </si>
  <si>
    <t xml:space="preserve">Samaria</t>
  </si>
  <si>
    <t xml:space="preserve">Because Jehu did well executing what was right, his sons to the fourth generation shall sit on Israel's throne</t>
  </si>
  <si>
    <t xml:space="preserve">2 Kings 10:30</t>
  </si>
  <si>
    <t xml:space="preserve">Jehu</t>
  </si>
  <si>
    <t xml:space="preserve">The king of Assyria shall not come into this city; God will defend it and save it for His own sake and David's sake</t>
  </si>
  <si>
    <t xml:space="preserve">2 Kings 19:32-34</t>
  </si>
  <si>
    <t xml:space="preserve">God (through Isaiah)</t>
  </si>
  <si>
    <t xml:space="preserve">Hezekiah / Jerusalem</t>
  </si>
  <si>
    <t xml:space="preserve">Protection / Deliverance</t>
  </si>
  <si>
    <t xml:space="preserve">God has heard Hezekiah's prayer and seen his tears; He will heal him, add fifteen years to his life, and deliver the city from Assyria</t>
  </si>
  <si>
    <t xml:space="preserve">2 Kings 20:5-6</t>
  </si>
  <si>
    <t xml:space="preserve">Hezekiah</t>
  </si>
  <si>
    <t xml:space="preserve">Healing / Prayer</t>
  </si>
  <si>
    <t xml:space="preserve">God will bring such calamity on Jerusalem that both ears of everyone who hears will tingle, because of Manasseh's sin</t>
  </si>
  <si>
    <t xml:space="preserve">2 Kings 21:12-14</t>
  </si>
  <si>
    <t xml:space="preserve">Judah</t>
  </si>
  <si>
    <t xml:space="preserve">Because Josiah's heart was tender and he humbled himself, he shall be gathered to his grave in peace and not see the coming calamity</t>
  </si>
  <si>
    <t xml:space="preserve">2 Kings 22:19-20</t>
  </si>
  <si>
    <t xml:space="preserve">God (through Huldah)</t>
  </si>
  <si>
    <t xml:space="preserve">Josiah</t>
  </si>
  <si>
    <t xml:space="preserve">Mercy / Peace</t>
  </si>
  <si>
    <t xml:space="preserve">God will make David a name like the name of the great men of the earth</t>
  </si>
  <si>
    <t xml:space="preserve">1 Chronicles 17:8</t>
  </si>
  <si>
    <t xml:space="preserve">God will ordain a place for Israel and plant them; they shall be moved no more</t>
  </si>
  <si>
    <t xml:space="preserve">1 Chronicles 17:9</t>
  </si>
  <si>
    <t xml:space="preserve">God will subdue all David's enemies and build him a house</t>
  </si>
  <si>
    <t xml:space="preserve">1 Chronicles 17:10</t>
  </si>
  <si>
    <t xml:space="preserve">Victory / Covenant</t>
  </si>
  <si>
    <t xml:space="preserve">God will raise up David's seed, establish his kingdom, and establish his throne forever</t>
  </si>
  <si>
    <t xml:space="preserve">1 Chronicles 17:11-12</t>
  </si>
  <si>
    <t xml:space="preserve">I will be his Father, and he shall be My son; I will not take My mercy from him</t>
  </si>
  <si>
    <t xml:space="preserve">1 Chronicles 17:13</t>
  </si>
  <si>
    <t xml:space="preserve">God will settle him in His house and kingdom forever; his throne shall be established forevermore</t>
  </si>
  <si>
    <t xml:space="preserve">1 Chronicles 17:14</t>
  </si>
  <si>
    <t xml:space="preserve">David's seed / Messiah</t>
  </si>
  <si>
    <t xml:space="preserve">Solomon, a man of rest, will build God's house; God will give Israel peace in his days and establish his throne forever</t>
  </si>
  <si>
    <t xml:space="preserve">1 Chronicles 22:9-10</t>
  </si>
  <si>
    <t xml:space="preserve">God (recalled by David)</t>
  </si>
  <si>
    <t xml:space="preserve">Peace / Kingdom</t>
  </si>
  <si>
    <t xml:space="preserve">The LORD God will be with Solomon; He will not leave nor forsake him until the temple work is finished</t>
  </si>
  <si>
    <t xml:space="preserve">1 Chronicles 28:20</t>
  </si>
  <si>
    <t xml:space="preserve">God (through David)</t>
  </si>
  <si>
    <t xml:space="preserve">Wisdom and knowledge are granted to Solomon, and God will give riches, wealth, and honor beyond any king before or after</t>
  </si>
  <si>
    <t xml:space="preserve">2 Chronicles 1:12</t>
  </si>
  <si>
    <t xml:space="preserve">Wisdom / Provision</t>
  </si>
  <si>
    <t xml:space="preserve">If My people humble themselves, pray, seek My face, and turn from their wicked ways, I will hear from heaven, forgive their sin, and heal their land</t>
  </si>
  <si>
    <t xml:space="preserve">2 Chronicles 7:14</t>
  </si>
  <si>
    <t xml:space="preserve">Israel (God's people)</t>
  </si>
  <si>
    <t xml:space="preserve">Restoration / Healing / Prayer</t>
  </si>
  <si>
    <t xml:space="preserve">God's eyes will be open and ears attentive to prayer made in this place; His eyes and heart will be there perpetually</t>
  </si>
  <si>
    <t xml:space="preserve">2 Chronicles 7:15-16</t>
  </si>
  <si>
    <t xml:space="preserve">Solomon / Israel</t>
  </si>
  <si>
    <t xml:space="preserve">Prayer / Presence</t>
  </si>
  <si>
    <t xml:space="preserve">The eyes of the LORD run to and fro throughout the whole earth to show Himself strong on behalf of those whose heart is loyal to Him</t>
  </si>
  <si>
    <t xml:space="preserve">2 Chronicles 16:9</t>
  </si>
  <si>
    <t xml:space="preserve">God (through Hanani)</t>
  </si>
  <si>
    <t xml:space="preserve">All whose hearts are loyal</t>
  </si>
  <si>
    <t xml:space="preserve">Strength / Presence</t>
  </si>
  <si>
    <t xml:space="preserve">The battle is not yours but God's; you will not need to fight — position yourselves, stand still, and see the salvation of the LORD</t>
  </si>
  <si>
    <t xml:space="preserve">2 Chronicles 20:15-17</t>
  </si>
  <si>
    <t xml:space="preserve">God (through Jahaziel)</t>
  </si>
  <si>
    <t xml:space="preserve">Jehoshaphat / Judah</t>
  </si>
  <si>
    <t xml:space="preserve">Victory / Deliverance</t>
  </si>
  <si>
    <t xml:space="preserve">If you return to the LORD, your brethren will find compassion, and He will not turn His face from you, for He is gracious and merciful</t>
  </si>
  <si>
    <t xml:space="preserve">2 Chronicles 30:9</t>
  </si>
  <si>
    <t xml:space="preserve">God (through Hezekiah's proclamation)</t>
  </si>
  <si>
    <t xml:space="preserve">Mercy / Restoration</t>
  </si>
  <si>
    <t xml:space="preserve">When Manasseh humbled himself greatly and prayed, God received his entreaty and restored him to his kingdom</t>
  </si>
  <si>
    <t xml:space="preserve">2 Chronicles 33:12-13</t>
  </si>
  <si>
    <t xml:space="preserve">God (demonstrated)</t>
  </si>
  <si>
    <t xml:space="preserve">Manasseh</t>
  </si>
  <si>
    <t xml:space="preserve">The LORD stirred Cyrus to fulfill the word by Jeremiah: the house of the LORD shall be built at Jerusalem</t>
  </si>
  <si>
    <t xml:space="preserve">Ezra 1:1-2</t>
  </si>
  <si>
    <t xml:space="preserve">God (through Cyrus's decree)</t>
  </si>
  <si>
    <t xml:space="preserve">Restoration / Faithfulness</t>
  </si>
  <si>
    <t xml:space="preserve">If you return to Me and keep My commandments, though you were cast to the farthest heavens, I will gather you to the place I have chosen</t>
  </si>
  <si>
    <t xml:space="preserve">Nehemiah 1:8-9</t>
  </si>
  <si>
    <t xml:space="preserve">God (recalled by Nehemiah)</t>
  </si>
  <si>
    <t xml:space="preserve">God will deliver you in six troubles, and in seven no evil shall touch you — famine, war, the tongue, destruction, and beasts</t>
  </si>
  <si>
    <t xml:space="preserve">Job 5:19-26</t>
  </si>
  <si>
    <t xml:space="preserve">God (through Eliphaz, affirmed truth)</t>
  </si>
  <si>
    <t xml:space="preserve">The righteous</t>
  </si>
  <si>
    <t xml:space="preserve">I know that my Redeemer lives and shall stand at last on the earth; in my flesh I shall see God</t>
  </si>
  <si>
    <t xml:space="preserve">Job 19:25-26</t>
  </si>
  <si>
    <t xml:space="preserve">God (through Job's confession of divine promise)</t>
  </si>
  <si>
    <t xml:space="preserve">Job / Believers</t>
  </si>
  <si>
    <t xml:space="preserve">Redemption / Resurrection</t>
  </si>
  <si>
    <t xml:space="preserve">The LORD restored Job's losses when he prayed for his friends, and gave him twice as much as he had before</t>
  </si>
  <si>
    <t xml:space="preserve">Job 42:10</t>
  </si>
  <si>
    <t xml:space="preserve">Job</t>
  </si>
  <si>
    <t xml:space="preserve">The one who delights in God's law shall be like a tree planted by rivers of water; whatever he does shall prosper</t>
  </si>
  <si>
    <t xml:space="preserve">Psalm 1:3</t>
  </si>
  <si>
    <t xml:space="preserve">God (through the psalmist)</t>
  </si>
  <si>
    <t xml:space="preserve">The LORD knows the way of the righteous, but the way of the ungodly shall perish</t>
  </si>
  <si>
    <t xml:space="preserve">Psalm 1:6</t>
  </si>
  <si>
    <t xml:space="preserve">Faithfulness / Judgment</t>
  </si>
  <si>
    <t xml:space="preserve">You are My Son; ask of Me, and I will give You the nations for Your inheritance and the ends of the earth for Your possession</t>
  </si>
  <si>
    <t xml:space="preserve">Psalm 2:7-8</t>
  </si>
  <si>
    <t xml:space="preserve">God the Father</t>
  </si>
  <si>
    <t xml:space="preserve">The Messiah (the Son)</t>
  </si>
  <si>
    <t xml:space="preserve">Blessed are all those who put their trust in the Son</t>
  </si>
  <si>
    <t xml:space="preserve">Psalm 2:12</t>
  </si>
  <si>
    <t xml:space="preserve">I will lie down in peace and sleep, for You alone, O LORD, make me dwell in safety</t>
  </si>
  <si>
    <t xml:space="preserve">Psalm 4:8</t>
  </si>
  <si>
    <t xml:space="preserve">The trusting</t>
  </si>
  <si>
    <t xml:space="preserve">Peace / Protection</t>
  </si>
  <si>
    <t xml:space="preserve">You, O LORD, will bless the righteous; with favor You will surround him as with a shield</t>
  </si>
  <si>
    <t xml:space="preserve">Psalm 5:12</t>
  </si>
  <si>
    <t xml:space="preserve">Blessing / Protection</t>
  </si>
  <si>
    <t xml:space="preserve">The LORD will be a refuge for the oppressed, a refuge in times of trouble</t>
  </si>
  <si>
    <t xml:space="preserve">Psalm 9:9</t>
  </si>
  <si>
    <t xml:space="preserve">The oppressed</t>
  </si>
  <si>
    <t xml:space="preserve">Refuge</t>
  </si>
  <si>
    <t xml:space="preserve">Those who know Your name will put their trust in You, for You have not forsaken those who seek You</t>
  </si>
  <si>
    <t xml:space="preserve">Psalm 9:10</t>
  </si>
  <si>
    <t xml:space="preserve">Those who seek Him</t>
  </si>
  <si>
    <t xml:space="preserve">LORD, You have heard the desire of the humble; You will prepare their heart and cause Your ear to hear, to do justice to the fatherless and the oppressed</t>
  </si>
  <si>
    <t xml:space="preserve">Psalm 10:17-18</t>
  </si>
  <si>
    <t xml:space="preserve">The humble / The fatherless</t>
  </si>
  <si>
    <t xml:space="preserve">Prayer / Justice</t>
  </si>
  <si>
    <t xml:space="preserve">For the oppression of the poor and the sighing of the needy, now I will arise; I will set him in the safety for which he yearns</t>
  </si>
  <si>
    <t xml:space="preserve">Psalm 12:5</t>
  </si>
  <si>
    <t xml:space="preserve">The poor and needy</t>
  </si>
  <si>
    <t xml:space="preserve">Deliverance / Justice</t>
  </si>
  <si>
    <t xml:space="preserve">You will not leave My soul in Sheol, nor allow Your Holy One to see corruption</t>
  </si>
  <si>
    <t xml:space="preserve">Psalm 16:10</t>
  </si>
  <si>
    <t xml:space="preserve">The Messiah</t>
  </si>
  <si>
    <t xml:space="preserve">Resurrection</t>
  </si>
  <si>
    <t xml:space="preserve">You will show me the path of life; in Your presence is fullness of joy; at Your right hand are pleasures forevermore</t>
  </si>
  <si>
    <t xml:space="preserve">Psalm 16:11</t>
  </si>
  <si>
    <t xml:space="preserve">Believers</t>
  </si>
  <si>
    <t xml:space="preserve">Life / Joy</t>
  </si>
  <si>
    <t xml:space="preserve">The LORD is my rock, fortress, deliverer, strength, shield, horn of salvation, and stronghold</t>
  </si>
  <si>
    <t xml:space="preserve">Psalm 18:2</t>
  </si>
  <si>
    <t xml:space="preserve">Those who trust Him</t>
  </si>
  <si>
    <t xml:space="preserve">He has not despised nor abhorred the affliction of the afflicted, nor hidden His face from Him; when He cried, He heard</t>
  </si>
  <si>
    <t xml:space="preserve">Psalm 22:24</t>
  </si>
  <si>
    <t xml:space="preserve">The afflicted</t>
  </si>
  <si>
    <t xml:space="preserve">Prayer / Compassion</t>
  </si>
  <si>
    <t xml:space="preserve">All the ends of the world shall remember and turn to the LORD; all families of the nations shall worship before Him</t>
  </si>
  <si>
    <t xml:space="preserve">Psalm 22:27</t>
  </si>
  <si>
    <t xml:space="preserve">Kingdom / Salvation</t>
  </si>
  <si>
    <t xml:space="preserve">The LORD is my shepherd; I shall not want</t>
  </si>
  <si>
    <t xml:space="preserve">Psalm 23:1</t>
  </si>
  <si>
    <t xml:space="preserve">His sheep</t>
  </si>
  <si>
    <t xml:space="preserve">Provision / Presence</t>
  </si>
  <si>
    <t xml:space="preserve">Even through the valley of the shadow of death, You are with me; Your rod and staff comfort me</t>
  </si>
  <si>
    <t xml:space="preserve">Psalm 23:4</t>
  </si>
  <si>
    <t xml:space="preserve">Presence / Comfort</t>
  </si>
  <si>
    <t xml:space="preserve">Surely goodness and mercy shall follow me all the days of my life, and I will dwell in the house of the LORD forever</t>
  </si>
  <si>
    <t xml:space="preserve">Psalm 23:6</t>
  </si>
  <si>
    <t xml:space="preserve">Mercy / Eternal Life</t>
  </si>
  <si>
    <t xml:space="preserve">He who has clean hands and a pure heart shall receive blessing from the LORD and righteousness from the God of his salvation</t>
  </si>
  <si>
    <t xml:space="preserve">Psalm 24:5</t>
  </si>
  <si>
    <t xml:space="preserve">The pure in heart</t>
  </si>
  <si>
    <t xml:space="preserve">Blessing / Righteousness</t>
  </si>
  <si>
    <t xml:space="preserve">The humble He guides in justice, and the humble He teaches His way</t>
  </si>
  <si>
    <t xml:space="preserve">Psalm 25:9</t>
  </si>
  <si>
    <t xml:space="preserve">The humble</t>
  </si>
  <si>
    <t xml:space="preserve">Guidance / Wisdom</t>
  </si>
  <si>
    <t xml:space="preserve">When my father and mother forsake me, then the LORD will take care of me</t>
  </si>
  <si>
    <t xml:space="preserve">Psalm 27:10</t>
  </si>
  <si>
    <t xml:space="preserve">The forsaken</t>
  </si>
  <si>
    <t xml:space="preserve">Faithfulness / Comfort</t>
  </si>
  <si>
    <t xml:space="preserve">The LORD is the strength of His people, and He is the saving refuge of His anointed</t>
  </si>
  <si>
    <t xml:space="preserve">Psalm 28:8</t>
  </si>
  <si>
    <t xml:space="preserve">His people</t>
  </si>
  <si>
    <t xml:space="preserve">Strength / Refuge</t>
  </si>
  <si>
    <t xml:space="preserve">The LORD will give strength to His people; the LORD will bless His people with peace</t>
  </si>
  <si>
    <t xml:space="preserve">Psalm 29:11</t>
  </si>
  <si>
    <t xml:space="preserve">Strength / Peace</t>
  </si>
  <si>
    <t xml:space="preserve">His anger is but for a moment, His favor for life; weeping may endure for a night, but joy comes in the morning</t>
  </si>
  <si>
    <t xml:space="preserve">Psalm 30:5</t>
  </si>
  <si>
    <t xml:space="preserve">Comfort / Joy</t>
  </si>
  <si>
    <t xml:space="preserve">Oh, how great is Your goodness, which You have laid up for those who fear You, which You have prepared for those who trust in You</t>
  </si>
  <si>
    <t xml:space="preserve">Psalm 31:19</t>
  </si>
  <si>
    <t xml:space="preserve">Those who fear Him</t>
  </si>
  <si>
    <t xml:space="preserve">Goodness / Reward</t>
  </si>
  <si>
    <t xml:space="preserve">The LORD preserves the faithful; be of good courage, and He shall strengthen your heart, all you who hope in the LORD</t>
  </si>
  <si>
    <t xml:space="preserve">Psalm 31:23-24</t>
  </si>
  <si>
    <t xml:space="preserve">The faithful</t>
  </si>
  <si>
    <t xml:space="preserve">Preservation / Strength</t>
  </si>
  <si>
    <t xml:space="preserve">I will instruct you and teach you in the way you should go; I will guide you with My eye</t>
  </si>
  <si>
    <t xml:space="preserve">Psalm 32:8</t>
  </si>
  <si>
    <t xml:space="preserve">David / Believers</t>
  </si>
  <si>
    <t xml:space="preserve">Many sorrows shall be to the wicked, but he who trusts in the LORD, mercy shall surround him</t>
  </si>
  <si>
    <t xml:space="preserve">Psalm 32:10</t>
  </si>
  <si>
    <t xml:space="preserve">The eye of the LORD is on those who fear Him, on those who hope in His mercy, to deliver their soul from death and keep them alive in famine</t>
  </si>
  <si>
    <t xml:space="preserve">Psalm 33:18-19</t>
  </si>
  <si>
    <t xml:space="preserve">The angel of the LORD encamps all around those who fear Him, and delivers them</t>
  </si>
  <si>
    <t xml:space="preserve">Psalm 34:7</t>
  </si>
  <si>
    <t xml:space="preserve">Oh, taste and see that the LORD is good; blessed is the man who trusts in Him</t>
  </si>
  <si>
    <t xml:space="preserve">Psalm 34:8</t>
  </si>
  <si>
    <t xml:space="preserve">Blessing / Goodness</t>
  </si>
  <si>
    <t xml:space="preserve">Those who seek the LORD shall not lack any good thing</t>
  </si>
  <si>
    <t xml:space="preserve">Psalm 34:10</t>
  </si>
  <si>
    <t xml:space="preserve">The eyes of the LORD are on the righteous, and His ears are open to their cry</t>
  </si>
  <si>
    <t xml:space="preserve">Psalm 34:15</t>
  </si>
  <si>
    <t xml:space="preserve">The righteous cry out, and the LORD hears and delivers them out of all their troubles</t>
  </si>
  <si>
    <t xml:space="preserve">Psalm 34:17</t>
  </si>
  <si>
    <t xml:space="preserve">Prayer / Deliverance</t>
  </si>
  <si>
    <t xml:space="preserve">The LORD is near to those who have a broken heart, and saves such as have a contrite spirit</t>
  </si>
  <si>
    <t xml:space="preserve">Psalm 34:18</t>
  </si>
  <si>
    <t xml:space="preserve">The brokenhearted</t>
  </si>
  <si>
    <t xml:space="preserve">Comfort / Presence</t>
  </si>
  <si>
    <t xml:space="preserve">Many are the afflictions of the righteous, but the LORD delivers him out of them all</t>
  </si>
  <si>
    <t xml:space="preserve">Psalm 34:19</t>
  </si>
  <si>
    <t xml:space="preserve">The LORD redeems the soul of His servants, and none of those who trust in Him shall be condemned</t>
  </si>
  <si>
    <t xml:space="preserve">Psalm 34:22</t>
  </si>
  <si>
    <t xml:space="preserve">His servants</t>
  </si>
  <si>
    <t xml:space="preserve">The children of men put their trust under the shadow of Your wings; they are abundantly satisfied; You give them drink from the river of Your pleasures, for with You is the fountain of life</t>
  </si>
  <si>
    <t xml:space="preserve">Psalm 36:7-9</t>
  </si>
  <si>
    <t xml:space="preserve">Those who take refuge</t>
  </si>
  <si>
    <t xml:space="preserve">Provision / Life</t>
  </si>
  <si>
    <t xml:space="preserve">Delight yourself in the LORD, and He shall give you the desires of your heart</t>
  </si>
  <si>
    <t xml:space="preserve">Psalm 37:4</t>
  </si>
  <si>
    <t xml:space="preserve">Commit your way to the LORD, trust also in Him, and He shall bring it to pass</t>
  </si>
  <si>
    <t xml:space="preserve">Psalm 37:5</t>
  </si>
  <si>
    <t xml:space="preserve">Those who wait on the LORD, they shall inherit the earth</t>
  </si>
  <si>
    <t xml:space="preserve">Psalm 37:9</t>
  </si>
  <si>
    <t xml:space="preserve">Those who wait</t>
  </si>
  <si>
    <t xml:space="preserve">The meek shall inherit the earth and delight themselves in the abundance of peace</t>
  </si>
  <si>
    <t xml:space="preserve">Psalm 37:11</t>
  </si>
  <si>
    <t xml:space="preserve">The meek</t>
  </si>
  <si>
    <t xml:space="preserve">Inheritance / Peace</t>
  </si>
  <si>
    <t xml:space="preserve">The LORD upholds the righteous</t>
  </si>
  <si>
    <t xml:space="preserve">Psalm 37:17</t>
  </si>
  <si>
    <t xml:space="preserve">The steps of a good man are ordered by the LORD; though he fall, he shall not be utterly cast down, for the LORD upholds him</t>
  </si>
  <si>
    <t xml:space="preserve">Psalm 37:23-24</t>
  </si>
  <si>
    <t xml:space="preserve">Guidance / Strength</t>
  </si>
  <si>
    <t xml:space="preserve">I have never seen the righteous forsaken, nor his descendants begging bread</t>
  </si>
  <si>
    <t xml:space="preserve">Psalm 37:25</t>
  </si>
  <si>
    <t xml:space="preserve">God (through David's testimony)</t>
  </si>
  <si>
    <t xml:space="preserve">The LORD loves justice and does not forsake His saints; they are preserved forever</t>
  </si>
  <si>
    <t xml:space="preserve">Psalm 37:28</t>
  </si>
  <si>
    <t xml:space="preserve">His saints</t>
  </si>
  <si>
    <t xml:space="preserve">Preservation / Justice</t>
  </si>
  <si>
    <t xml:space="preserve">Wait on the LORD and keep His way, and He shall exalt you to inherit the land</t>
  </si>
  <si>
    <t xml:space="preserve">Psalm 37:34</t>
  </si>
  <si>
    <t xml:space="preserve">Exaltation / Inheritance</t>
  </si>
  <si>
    <t xml:space="preserve">The salvation of the righteous is from the LORD; He is their strength in time of trouble; the LORD shall help them and deliver them, because they trust in Him</t>
  </si>
  <si>
    <t xml:space="preserve">Psalm 37:39-40</t>
  </si>
  <si>
    <t xml:space="preserve">Salvation / Deliverance</t>
  </si>
  <si>
    <t xml:space="preserve">Blessed is he who considers the poor: the LORD will deliver him in trouble, preserve him, keep him alive, and strengthen him on his sickbed</t>
  </si>
  <si>
    <t xml:space="preserve">Psalm 41:1-3</t>
  </si>
  <si>
    <t xml:space="preserve">Those who help the poor</t>
  </si>
  <si>
    <t xml:space="preserve">Deliverance / Healing</t>
  </si>
  <si>
    <t xml:space="preserve">God is our refuge and strength, a very present help in trouble</t>
  </si>
  <si>
    <t xml:space="preserve">Psalm 46:1</t>
  </si>
  <si>
    <t xml:space="preserve">God (through the sons of Korah)</t>
  </si>
  <si>
    <t xml:space="preserve">Refuge / Strength</t>
  </si>
  <si>
    <t xml:space="preserve">This is God, our God forever and ever; He will be our guide even to death</t>
  </si>
  <si>
    <t xml:space="preserve">Psalm 48:14</t>
  </si>
  <si>
    <t xml:space="preserve">Call upon Me in the day of trouble; I will deliver you, and you shall glorify Me</t>
  </si>
  <si>
    <t xml:space="preserve">Psalm 50:15</t>
  </si>
  <si>
    <t xml:space="preserve">A broken and a contrite heart, O God, You will not despise</t>
  </si>
  <si>
    <t xml:space="preserve">Psalm 51:17</t>
  </si>
  <si>
    <t xml:space="preserve">The repentant</t>
  </si>
  <si>
    <t xml:space="preserve">Cast your burden on the LORD, and He shall sustain you; He shall never permit the righteous to be moved</t>
  </si>
  <si>
    <t xml:space="preserve">Psalm 55:22</t>
  </si>
  <si>
    <t xml:space="preserve">Strength / Faithfulness</t>
  </si>
  <si>
    <t xml:space="preserve">You number my wanderings; put my tears into Your bottle — when I cry out to You, then my enemies will turn back; this I know, because God is for me</t>
  </si>
  <si>
    <t xml:space="preserve">Psalm 56:8-9</t>
  </si>
  <si>
    <t xml:space="preserve">The pursued</t>
  </si>
  <si>
    <t xml:space="preserve">Compassion / Victory</t>
  </si>
  <si>
    <t xml:space="preserve">I will cry out to God Most High, to God who performs all things for me</t>
  </si>
  <si>
    <t xml:space="preserve">Psalm 57:2</t>
  </si>
  <si>
    <t xml:space="preserve">O You who hear prayer, to You all flesh will come</t>
  </si>
  <si>
    <t xml:space="preserve">Psalm 65:2</t>
  </si>
  <si>
    <t xml:space="preserve">All flesh</t>
  </si>
  <si>
    <t xml:space="preserve">Prayer</t>
  </si>
  <si>
    <t xml:space="preserve">A father of the fatherless, a defender of widows, is God in His holy habitation; God sets the solitary in families and brings out those who are bound into prosperity</t>
  </si>
  <si>
    <t xml:space="preserve">Psalm 68:5-6</t>
  </si>
  <si>
    <t xml:space="preserve">The fatherless / Widows / The lonely</t>
  </si>
  <si>
    <t xml:space="preserve">Compassion / Family</t>
  </si>
  <si>
    <t xml:space="preserve">You who seek God, your hearts shall live, for the LORD hears the poor and does not despise His prisoners</t>
  </si>
  <si>
    <t xml:space="preserve">Psalm 69:32-33</t>
  </si>
  <si>
    <t xml:space="preserve">Seekers / The poor</t>
  </si>
  <si>
    <t xml:space="preserve">Life / Prayer</t>
  </si>
  <si>
    <t xml:space="preserve">He shall have dominion from sea to sea, and from the River to the ends of the earth</t>
  </si>
  <si>
    <t xml:space="preserve">Psalm 72:8</t>
  </si>
  <si>
    <t xml:space="preserve">God (through Solomon's psalm)</t>
  </si>
  <si>
    <t xml:space="preserve">The Messianic King</t>
  </si>
  <si>
    <t xml:space="preserve">All kings shall fall down before Him; all nations shall serve Him</t>
  </si>
  <si>
    <t xml:space="preserve">Psalm 72:11</t>
  </si>
  <si>
    <t xml:space="preserve">The Messianic King / Nations</t>
  </si>
  <si>
    <t xml:space="preserve">His name shall endure forever, as long as the sun; and men shall be blessed in Him; all nations shall call Him blessed</t>
  </si>
  <si>
    <t xml:space="preserve">Psalm 72:17</t>
  </si>
  <si>
    <t xml:space="preserve">Nevertheless I am continually with You; You hold me by my right hand; You will guide me with Your counsel, and afterward receive me to glory</t>
  </si>
  <si>
    <t xml:space="preserve">Psalm 73:23-24</t>
  </si>
  <si>
    <t xml:space="preserve">God (through Asaph)</t>
  </si>
  <si>
    <t xml:space="preserve">Presence / Glory</t>
  </si>
  <si>
    <t xml:space="preserve">I am the LORD your God who brought you out of Egypt; open your mouth wide, and I will fill it</t>
  </si>
  <si>
    <t xml:space="preserve">Psalm 81:10</t>
  </si>
  <si>
    <t xml:space="preserve">Oh, that My people would listen to Me! I would soon subdue their enemies and feed them with the finest of wheat and honey from the rock</t>
  </si>
  <si>
    <t xml:space="preserve">Psalm 81:13-16</t>
  </si>
  <si>
    <t xml:space="preserve">Victory / Provision</t>
  </si>
  <si>
    <t xml:space="preserve">Blessed is the man whose strength is in You; they go from strength to strength; each one appears before God in Zion</t>
  </si>
  <si>
    <t xml:space="preserve">Psalm 84:5-7</t>
  </si>
  <si>
    <t xml:space="preserve">Pilgrims of God</t>
  </si>
  <si>
    <t xml:space="preserve">The LORD is a sun and shield; He will give grace and glory; no good thing will He withhold from those who walk uprightly</t>
  </si>
  <si>
    <t xml:space="preserve">Psalm 84:11</t>
  </si>
  <si>
    <t xml:space="preserve">The upright</t>
  </si>
  <si>
    <t xml:space="preserve">Grace / Provision</t>
  </si>
  <si>
    <t xml:space="preserve">He will speak peace to His people and to His saints; surely His salvation is near to those who fear Him, that glory may dwell in our land</t>
  </si>
  <si>
    <t xml:space="preserve">Psalm 85:8-9</t>
  </si>
  <si>
    <t xml:space="preserve">You, Lord, are good, and ready to forgive, and abundant in mercy to all those who call upon You</t>
  </si>
  <si>
    <t xml:space="preserve">Psalm 86:5</t>
  </si>
  <si>
    <t xml:space="preserve">All who call</t>
  </si>
  <si>
    <t xml:space="preserve">Forgiveness / Mercy</t>
  </si>
  <si>
    <t xml:space="preserve">I have made a covenant with My chosen; your seed I will establish forever and build up your throne to all generations</t>
  </si>
  <si>
    <t xml:space="preserve">Psalm 89:3-4</t>
  </si>
  <si>
    <t xml:space="preserve">My mercy I will keep for him forever; his seed shall endure forever, and his throne as the days of heaven</t>
  </si>
  <si>
    <t xml:space="preserve">Psalm 89:28-29</t>
  </si>
  <si>
    <t xml:space="preserve">David / Messiah</t>
  </si>
  <si>
    <t xml:space="preserve">My lovingkindness I will not utterly take from him, nor allow My faithfulness to fail; My covenant I will not break</t>
  </si>
  <si>
    <t xml:space="preserve">Psalm 89:33-34</t>
  </si>
  <si>
    <t xml:space="preserve">David's line</t>
  </si>
  <si>
    <t xml:space="preserve">Let the beauty of the LORD our God be upon us, and establish the work of our hands</t>
  </si>
  <si>
    <t xml:space="preserve">Psalm 90:17</t>
  </si>
  <si>
    <t xml:space="preserve">God (through Moses' prayer)</t>
  </si>
  <si>
    <t xml:space="preserve">God's servants</t>
  </si>
  <si>
    <t xml:space="preserve">He shall deliver you from the snare of the fowler and the perilous pestilence; a thousand may fall at your side, but it shall not come near you</t>
  </si>
  <si>
    <t xml:space="preserve">Psalm 91:3-7</t>
  </si>
  <si>
    <t xml:space="preserve">Those who dwell in His shelter</t>
  </si>
  <si>
    <t xml:space="preserve">He shall give His angels charge over you, to keep you in all your ways</t>
  </si>
  <si>
    <t xml:space="preserve">Psalm 91:11</t>
  </si>
  <si>
    <t xml:space="preserve">Those who abide in Him</t>
  </si>
  <si>
    <t xml:space="preserve">Because he has set his love upon Me, I will deliver him, set him on high, answer him, be with him in trouble, and honor him</t>
  </si>
  <si>
    <t xml:space="preserve">Psalm 91:14-15</t>
  </si>
  <si>
    <t xml:space="preserve">The one who loves Him</t>
  </si>
  <si>
    <t xml:space="preserve">Deliverance / Presence</t>
  </si>
  <si>
    <t xml:space="preserve">With long life I will satisfy him and show him My salvation</t>
  </si>
  <si>
    <t xml:space="preserve">Psalm 91:16</t>
  </si>
  <si>
    <t xml:space="preserve">Life / Salvation</t>
  </si>
  <si>
    <t xml:space="preserve">The righteous shall flourish like a palm tree; those planted in the house of the LORD shall still bear fruit in old age</t>
  </si>
  <si>
    <t xml:space="preserve">Psalm 92:12-14</t>
  </si>
  <si>
    <t xml:space="preserve">Fruitfulness / Blessing</t>
  </si>
  <si>
    <t xml:space="preserve">The LORD will not cast off His people, nor will He forsake His inheritance</t>
  </si>
  <si>
    <t xml:space="preserve">Psalm 94:14</t>
  </si>
  <si>
    <t xml:space="preserve">He is coming to judge the earth; He shall judge the world with righteousness, and the peoples with His truth</t>
  </si>
  <si>
    <t xml:space="preserve">Psalm 96:13</t>
  </si>
  <si>
    <t xml:space="preserve">All the earth</t>
  </si>
  <si>
    <t xml:space="preserve">Judgment / Justice</t>
  </si>
  <si>
    <t xml:space="preserve">He preserves the souls of His saints; He delivers them out of the hand of the wicked; light is sown for the righteous, and gladness for the upright in heart</t>
  </si>
  <si>
    <t xml:space="preserve">Psalm 97:10-11</t>
  </si>
  <si>
    <t xml:space="preserve">Preservation / Joy</t>
  </si>
  <si>
    <t xml:space="preserve">The LORD is good; His mercy is everlasting, and His truth endures to all generations</t>
  </si>
  <si>
    <t xml:space="preserve">Psalm 100:5</t>
  </si>
  <si>
    <t xml:space="preserve">All generations</t>
  </si>
  <si>
    <t xml:space="preserve">The LORD shall build up Zion; He shall appear in His glory; He shall regard the prayer of the destitute and shall not despise their prayer</t>
  </si>
  <si>
    <t xml:space="preserve">Psalm 102:16-17</t>
  </si>
  <si>
    <t xml:space="preserve">Zion / The destitute</t>
  </si>
  <si>
    <t xml:space="preserve">Restoration / Prayer</t>
  </si>
  <si>
    <t xml:space="preserve">The heavens will perish, but You will endure; the children of Your servants will continue, and their descendants will be established before You</t>
  </si>
  <si>
    <t xml:space="preserve">Psalm 102:25-28</t>
  </si>
  <si>
    <t xml:space="preserve">His servants' children</t>
  </si>
  <si>
    <t xml:space="preserve">Faithfulness / Continuity</t>
  </si>
  <si>
    <t xml:space="preserve">He forgives all your iniquities and heals all your diseases</t>
  </si>
  <si>
    <t xml:space="preserve">Psalm 103:3</t>
  </si>
  <si>
    <t xml:space="preserve">Mercy / Healing</t>
  </si>
  <si>
    <t xml:space="preserve">The LORD is merciful and gracious, slow to anger, and abounding in mercy; He will not always strive with us, nor keep His anger forever</t>
  </si>
  <si>
    <t xml:space="preserve">Psalm 103:8-9</t>
  </si>
  <si>
    <t xml:space="preserve">As the heavens are high above the earth, so great is His mercy toward those who fear Him</t>
  </si>
  <si>
    <t xml:space="preserve">Psalm 103:11</t>
  </si>
  <si>
    <t xml:space="preserve">As far as the east is from the west, so far has He removed our transgressions from us</t>
  </si>
  <si>
    <t xml:space="preserve">Psalm 103:12</t>
  </si>
  <si>
    <t xml:space="preserve">Forgiveness</t>
  </si>
  <si>
    <t xml:space="preserve">As a father pities his children, so the LORD pities those who fear Him; for He knows our frame; He remembers that we are dust</t>
  </si>
  <si>
    <t xml:space="preserve">Psalm 103:13-14</t>
  </si>
  <si>
    <t xml:space="preserve">Compassion</t>
  </si>
  <si>
    <t xml:space="preserve">The mercy of the LORD is from everlasting to everlasting on those who fear Him, and His righteousness to children's children</t>
  </si>
  <si>
    <t xml:space="preserve">Psalm 103:17</t>
  </si>
  <si>
    <t xml:space="preserve">He remembers His covenant forever, the word which He commanded, for a thousand generations</t>
  </si>
  <si>
    <t xml:space="preserve">Psalm 105:8</t>
  </si>
  <si>
    <t xml:space="preserve">Covenant people</t>
  </si>
  <si>
    <t xml:space="preserve">He satisfies the longing soul, and fills the hungry soul with goodness</t>
  </si>
  <si>
    <t xml:space="preserve">Psalm 107:9</t>
  </si>
  <si>
    <t xml:space="preserve">The longing</t>
  </si>
  <si>
    <t xml:space="preserve">Satisfaction</t>
  </si>
  <si>
    <t xml:space="preserve">They cry out to the LORD in their trouble, and He saves them out of their distresses; He sent His word and healed them</t>
  </si>
  <si>
    <t xml:space="preserve">Psalm 107:19-20</t>
  </si>
  <si>
    <t xml:space="preserve">The distressed</t>
  </si>
  <si>
    <t xml:space="preserve">The LORD said to my Lord, Sit at My right hand, till I make Your enemies Your footstool</t>
  </si>
  <si>
    <t xml:space="preserve">Psalm 110:1</t>
  </si>
  <si>
    <t xml:space="preserve">Messiah / Victory</t>
  </si>
  <si>
    <t xml:space="preserve">The LORD has sworn and will not relent: You are a priest forever according to the order of Melchizedek</t>
  </si>
  <si>
    <t xml:space="preserve">Psalm 110:4</t>
  </si>
  <si>
    <t xml:space="preserve">He gives food to those who fear Him; He will ever be mindful of His covenant</t>
  </si>
  <si>
    <t xml:space="preserve">Psalm 111:5</t>
  </si>
  <si>
    <t xml:space="preserve">Blessed is the man who fears the LORD; his descendants will be mighty on earth; wealth and riches will be in his house, and his righteousness endures forever</t>
  </si>
  <si>
    <t xml:space="preserve">Psalm 112:1-3</t>
  </si>
  <si>
    <t xml:space="preserve">The God-fearing</t>
  </si>
  <si>
    <t xml:space="preserve">Unto the upright there arises light in the darkness</t>
  </si>
  <si>
    <t xml:space="preserve">Psalm 112:4</t>
  </si>
  <si>
    <t xml:space="preserve">Light / Hope</t>
  </si>
  <si>
    <t xml:space="preserve">He will not be afraid of evil tidings; his heart is steadfast, trusting in the LORD</t>
  </si>
  <si>
    <t xml:space="preserve">Psalm 112:7</t>
  </si>
  <si>
    <t xml:space="preserve">He raises the poor out of the dust and lifts the needy out of the ash heap, to seat him with princes; He grants the barren woman a home, like a joyful mother of children</t>
  </si>
  <si>
    <t xml:space="preserve">Psalm 113:7-9</t>
  </si>
  <si>
    <t xml:space="preserve">The poor / The barren</t>
  </si>
  <si>
    <t xml:space="preserve">Exaltation / Family</t>
  </si>
  <si>
    <t xml:space="preserve">The LORD has been mindful of us; He will bless us — He will bless the house of Israel and the house of Aaron; He will bless those who fear the LORD, both small and great</t>
  </si>
  <si>
    <t xml:space="preserve">Psalm 115:12-13</t>
  </si>
  <si>
    <t xml:space="preserve">Israel / All who fear Him</t>
  </si>
  <si>
    <t xml:space="preserve">Precious in the sight of the LORD is the death of His saints</t>
  </si>
  <si>
    <t xml:space="preserve">Psalm 116:15</t>
  </si>
  <si>
    <t xml:space="preserve">Comfort / Honor</t>
  </si>
  <si>
    <t xml:space="preserve">The stone which the builders rejected has become the chief cornerstone; this was the LORD's doing</t>
  </si>
  <si>
    <t xml:space="preserve">Psalm 118:22-23</t>
  </si>
  <si>
    <t xml:space="preserve">Israel / The Messiah</t>
  </si>
  <si>
    <t xml:space="preserve">Great peace have those who love Your law, and nothing causes them to stumble</t>
  </si>
  <si>
    <t xml:space="preserve">Psalm 119:165</t>
  </si>
  <si>
    <t xml:space="preserve">Those who love His law</t>
  </si>
  <si>
    <t xml:space="preserve">He will not allow your foot to be moved; He who keeps you will not slumber</t>
  </si>
  <si>
    <t xml:space="preserve">Psalm 121:3-4</t>
  </si>
  <si>
    <t xml:space="preserve">The LORD is your keeper; the LORD is your shade at your right hand; the sun shall not strike you by day, nor the moon by night</t>
  </si>
  <si>
    <t xml:space="preserve">Psalm 121:5-6</t>
  </si>
  <si>
    <t xml:space="preserve">The LORD shall preserve you from all evil; He shall preserve your soul, your going out and coming in, from this time forth and forevermore</t>
  </si>
  <si>
    <t xml:space="preserve">Psalm 121:7-8</t>
  </si>
  <si>
    <t xml:space="preserve">Those who trust in the LORD are like Mount Zion, which cannot be moved; as the mountains surround Jerusalem, so the LORD surrounds His people from this time forth and forever</t>
  </si>
  <si>
    <t xml:space="preserve">Psalm 125:1-2</t>
  </si>
  <si>
    <t xml:space="preserve">Security / Protection</t>
  </si>
  <si>
    <t xml:space="preserve">Those who sow in tears shall reap in joy; he who goes forth weeping shall doubtless come again with rejoicing, bringing his sheaves</t>
  </si>
  <si>
    <t xml:space="preserve">Psalm 126:5-6</t>
  </si>
  <si>
    <t xml:space="preserve">The sowing / weeping</t>
  </si>
  <si>
    <t xml:space="preserve">Joy / Harvest</t>
  </si>
  <si>
    <t xml:space="preserve">He gives His beloved sleep</t>
  </si>
  <si>
    <t xml:space="preserve">Psalm 127:2</t>
  </si>
  <si>
    <t xml:space="preserve">God (through Solomon)</t>
  </si>
  <si>
    <t xml:space="preserve">His beloved</t>
  </si>
  <si>
    <t xml:space="preserve">Rest</t>
  </si>
  <si>
    <t xml:space="preserve">Blessed is every one who fears the LORD; you shall eat the labor of your hands; your wife shall be like a fruitful vine, your children like olive plants around your table</t>
  </si>
  <si>
    <t xml:space="preserve">Psalm 128:1-4</t>
  </si>
  <si>
    <t xml:space="preserve">With the LORD there is mercy, and with Him is abundant redemption; He shall redeem Israel from all his iniquities</t>
  </si>
  <si>
    <t xml:space="preserve">Psalm 130:7-8</t>
  </si>
  <si>
    <t xml:space="preserve">Israel / The hoping</t>
  </si>
  <si>
    <t xml:space="preserve">Redemption / Mercy</t>
  </si>
  <si>
    <t xml:space="preserve">The LORD has sworn in truth to David: I will set upon your throne the fruit of your body</t>
  </si>
  <si>
    <t xml:space="preserve">Psalm 132:11</t>
  </si>
  <si>
    <t xml:space="preserve">The LORD has chosen Zion; this is My resting place forever; here I will dwell</t>
  </si>
  <si>
    <t xml:space="preserve">Psalm 132:13-14</t>
  </si>
  <si>
    <t xml:space="preserve">Zion</t>
  </si>
  <si>
    <t xml:space="preserve">I will abundantly bless her provision; I will satisfy her poor with bread; I will also clothe her priests with salvation</t>
  </si>
  <si>
    <t xml:space="preserve">Psalm 132:15-16</t>
  </si>
  <si>
    <t xml:space="preserve">Provision / Salvation</t>
  </si>
  <si>
    <t xml:space="preserve">There I will make the horn of David grow; I will prepare a lamp for My Anointed</t>
  </si>
  <si>
    <t xml:space="preserve">Psalm 132:17-18</t>
  </si>
  <si>
    <t xml:space="preserve">David / The Messiah</t>
  </si>
  <si>
    <t xml:space="preserve">There the LORD commanded the blessing — life forevermore</t>
  </si>
  <si>
    <t xml:space="preserve">Psalm 133:3</t>
  </si>
  <si>
    <t xml:space="preserve">Brethren in unity</t>
  </si>
  <si>
    <t xml:space="preserve">The LORD will judge His people, and He will have compassion on His servants</t>
  </si>
  <si>
    <t xml:space="preserve">Psalm 135:14</t>
  </si>
  <si>
    <t xml:space="preserve">Justice / Compassion</t>
  </si>
  <si>
    <t xml:space="preserve">The LORD will perfect that which concerns me; Your mercy, O LORD, endures forever</t>
  </si>
  <si>
    <t xml:space="preserve">Psalm 138:8</t>
  </si>
  <si>
    <t xml:space="preserve">If I take the wings of the morning and dwell in the uttermost parts of the sea, even there Your hand shall lead me, and Your right hand shall hold me</t>
  </si>
  <si>
    <t xml:space="preserve">Psalm 139:9-10</t>
  </si>
  <si>
    <t xml:space="preserve">Presence / Guidance</t>
  </si>
  <si>
    <t xml:space="preserve">I know that the LORD will maintain the cause of the afflicted, and justice for the poor</t>
  </si>
  <si>
    <t xml:space="preserve">Psalm 140:12</t>
  </si>
  <si>
    <t xml:space="preserve">The afflicted / The poor</t>
  </si>
  <si>
    <t xml:space="preserve">Justice</t>
  </si>
  <si>
    <t xml:space="preserve">The LORD is good to all, and His tender mercies are over all His works</t>
  </si>
  <si>
    <t xml:space="preserve">Psalm 145:9</t>
  </si>
  <si>
    <t xml:space="preserve">All His works</t>
  </si>
  <si>
    <t xml:space="preserve">Goodness / Mercy</t>
  </si>
  <si>
    <t xml:space="preserve">The LORD upholds all who fall, and raises up all who are bowed down</t>
  </si>
  <si>
    <t xml:space="preserve">Psalm 145:14</t>
  </si>
  <si>
    <t xml:space="preserve">The fallen</t>
  </si>
  <si>
    <t xml:space="preserve">Strength / Restoration</t>
  </si>
  <si>
    <t xml:space="preserve">You open Your hand and satisfy the desire of every living thing</t>
  </si>
  <si>
    <t xml:space="preserve">Psalm 145:16</t>
  </si>
  <si>
    <t xml:space="preserve">All living things</t>
  </si>
  <si>
    <t xml:space="preserve">The LORD is near to all who call upon Him in truth; He will fulfill the desire of those who fear Him, hear their cry, and save them</t>
  </si>
  <si>
    <t xml:space="preserve">Psalm 145:18-19</t>
  </si>
  <si>
    <t xml:space="preserve">Those who call on Him</t>
  </si>
  <si>
    <t xml:space="preserve">Prayer / Salvation</t>
  </si>
  <si>
    <t xml:space="preserve">The LORD preserves all who love Him, but all the wicked He will destroy</t>
  </si>
  <si>
    <t xml:space="preserve">Psalm 145:20</t>
  </si>
  <si>
    <t xml:space="preserve">Those who love Him</t>
  </si>
  <si>
    <t xml:space="preserve">Preservation / Judgment</t>
  </si>
  <si>
    <t xml:space="preserve">The LORD executes justice for the oppressed, gives food to the hungry, gives freedom to the prisoners, opens the eyes of the blind, raises those who are bowed down, loves the righteous, watches over the strangers, and relieves the fatherless and widow</t>
  </si>
  <si>
    <t xml:space="preserve">Psalm 146:7-9</t>
  </si>
  <si>
    <t xml:space="preserve">The oppressed / The vulnerable</t>
  </si>
  <si>
    <t xml:space="preserve">Justice / Provision / Healing</t>
  </si>
  <si>
    <t xml:space="preserve">He heals the brokenhearted and binds up their wounds</t>
  </si>
  <si>
    <t xml:space="preserve">Psalm 147:3</t>
  </si>
  <si>
    <t xml:space="preserve">Healing / Comfort</t>
  </si>
  <si>
    <t xml:space="preserve">The LORD lifts up the humble; He casts the wicked down to the ground</t>
  </si>
  <si>
    <t xml:space="preserve">Psalm 147:6</t>
  </si>
  <si>
    <t xml:space="preserve">Exaltation / Justice</t>
  </si>
  <si>
    <t xml:space="preserve">The LORD takes pleasure in those who fear Him, in those who hope in His mercy</t>
  </si>
  <si>
    <t xml:space="preserve">Psalm 147:11</t>
  </si>
  <si>
    <t xml:space="preserve">Those who hope in Him</t>
  </si>
  <si>
    <t xml:space="preserve">Favor</t>
  </si>
  <si>
    <t xml:space="preserve">The LORD takes pleasure in His people; He will beautify the humble with salvation</t>
  </si>
  <si>
    <t xml:space="preserve">Psalm 149:4</t>
  </si>
  <si>
    <t xml:space="preserve">Salvation / Favor</t>
  </si>
  <si>
    <t xml:space="preserve">Turn at my rebuke; surely I will pour out my spirit on you; I will make my words known to you</t>
  </si>
  <si>
    <t xml:space="preserve">Proverbs 1:23</t>
  </si>
  <si>
    <t xml:space="preserve">God (Wisdom personified)</t>
  </si>
  <si>
    <t xml:space="preserve">The simple</t>
  </si>
  <si>
    <t xml:space="preserve">Holy Spirit / Wisdom</t>
  </si>
  <si>
    <t xml:space="preserve">Whoever listens to me will dwell safely and be secure, without fear of evil</t>
  </si>
  <si>
    <t xml:space="preserve">Proverbs 1:33</t>
  </si>
  <si>
    <t xml:space="preserve">The listening</t>
  </si>
  <si>
    <t xml:space="preserve">The LORD gives wisdom; from His mouth come knowledge and understanding; He is a shield to those who walk uprightly</t>
  </si>
  <si>
    <t xml:space="preserve">Proverbs 2:6-7</t>
  </si>
  <si>
    <t xml:space="preserve">Wisdom / Protection</t>
  </si>
  <si>
    <t xml:space="preserve">Trust in the LORD with all your heart; in all your ways acknowledge Him, and He shall direct your paths</t>
  </si>
  <si>
    <t xml:space="preserve">Proverbs 3:5-6</t>
  </si>
  <si>
    <t xml:space="preserve">Honor the LORD with your possessions and the firstfruits of your increase; so your barns will be filled with plenty</t>
  </si>
  <si>
    <t xml:space="preserve">Proverbs 3:9-10</t>
  </si>
  <si>
    <t xml:space="preserve">The generous</t>
  </si>
  <si>
    <t xml:space="preserve">When you lie down, you will not be afraid; your sleep will be sweet</t>
  </si>
  <si>
    <t xml:space="preserve">Proverbs 3:24</t>
  </si>
  <si>
    <t xml:space="preserve">Those who keep wisdom</t>
  </si>
  <si>
    <t xml:space="preserve">The curse of the LORD is on the house of the wicked, but He blesses the home of the just</t>
  </si>
  <si>
    <t xml:space="preserve">Proverbs 3:33</t>
  </si>
  <si>
    <t xml:space="preserve">The just / The wicked</t>
  </si>
  <si>
    <t xml:space="preserve">I love those who love me, and those who seek me diligently will find me</t>
  </si>
  <si>
    <t xml:space="preserve">Proverbs 8:17</t>
  </si>
  <si>
    <t xml:space="preserve">Seekers</t>
  </si>
  <si>
    <t xml:space="preserve">Whoever finds me finds life, and obtains favor from the LORD</t>
  </si>
  <si>
    <t xml:space="preserve">Proverbs 8:35</t>
  </si>
  <si>
    <t xml:space="preserve">Seekers of wisdom</t>
  </si>
  <si>
    <t xml:space="preserve">Life / Grace</t>
  </si>
  <si>
    <t xml:space="preserve">The LORD will not allow the righteous soul to famish, but He casts away the desire of the wicked</t>
  </si>
  <si>
    <t xml:space="preserve">Proverbs 10:3</t>
  </si>
  <si>
    <t xml:space="preserve">The LORD is far from the wicked, but He hears the prayer of the righteous</t>
  </si>
  <si>
    <t xml:space="preserve">Proverbs 15:29</t>
  </si>
  <si>
    <t xml:space="preserve">When a man's ways please the LORD, He makes even his enemies to be at peace with him</t>
  </si>
  <si>
    <t xml:space="preserve">Proverbs 16:7</t>
  </si>
  <si>
    <t xml:space="preserve">The obedient</t>
  </si>
  <si>
    <t xml:space="preserve">The name of the LORD is a strong tower; the righteous run to it and are safe</t>
  </si>
  <si>
    <t xml:space="preserve">Proverbs 18:10</t>
  </si>
  <si>
    <t xml:space="preserve">Refuge / Protection</t>
  </si>
  <si>
    <t xml:space="preserve">By humility and the fear of the LORD are riches and honor and life</t>
  </si>
  <si>
    <t xml:space="preserve">Proverbs 22:4</t>
  </si>
  <si>
    <t xml:space="preserve">He who covers his sins will not prosper, but whoever confesses and forsakes them will have mercy</t>
  </si>
  <si>
    <t xml:space="preserve">Proverbs 28:13</t>
  </si>
  <si>
    <t xml:space="preserve">Every word of God is pure; He is a shield to those who put their trust in Him</t>
  </si>
  <si>
    <t xml:space="preserve">Proverbs 30:5</t>
  </si>
  <si>
    <t xml:space="preserve">God (through Agur)</t>
  </si>
  <si>
    <t xml:space="preserve">Protection / Faithfulness</t>
  </si>
  <si>
    <t xml:space="preserve">Though a sinner does evil a hundred times, it will be well with those who fear God</t>
  </si>
  <si>
    <t xml:space="preserve">Ecclesiastes 8:12</t>
  </si>
  <si>
    <t xml:space="preserve">God (through the Preacher)</t>
  </si>
  <si>
    <t xml:space="preserve">Those who fear God</t>
  </si>
  <si>
    <t xml:space="preserve">God will bring every work into judgment, including every secret thing, whether good or evil</t>
  </si>
  <si>
    <t xml:space="preserve">Ecclesiastes 12:14</t>
  </si>
  <si>
    <t xml:space="preserve">All humanity</t>
  </si>
  <si>
    <t xml:space="preserve">Though your sins are like scarlet, they shall be as white as snow; though red like crimson, they shall be as wool</t>
  </si>
  <si>
    <t xml:space="preserve">Isaiah 1:18</t>
  </si>
  <si>
    <t xml:space="preserve">Judah / The repentant</t>
  </si>
  <si>
    <t xml:space="preserve">If you are willing and obedient, you shall eat the good of the land</t>
  </si>
  <si>
    <t xml:space="preserve">Isaiah 1:19</t>
  </si>
  <si>
    <t xml:space="preserve">In the latter days the mountain of the LORD's house shall be established above all; all nations shall flow to it, and the law shall go forth from Zion</t>
  </si>
  <si>
    <t xml:space="preserve">Isaiah 2:2-3</t>
  </si>
  <si>
    <t xml:space="preserve">Kingdom / Eschatology</t>
  </si>
  <si>
    <t xml:space="preserve">He shall judge between the nations; they shall beat their swords into plowshares; nation shall not lift up sword against nation anymore</t>
  </si>
  <si>
    <t xml:space="preserve">Isaiah 2:4</t>
  </si>
  <si>
    <t xml:space="preserve">The Branch of the LORD shall be beautiful and glorious; the LORD will create over Zion a cloud by day and flaming fire by night — a shelter and refuge</t>
  </si>
  <si>
    <t xml:space="preserve">Isaiah 4:2-6</t>
  </si>
  <si>
    <t xml:space="preserve">Zion's remnant</t>
  </si>
  <si>
    <t xml:space="preserve">Messiah / Protection</t>
  </si>
  <si>
    <t xml:space="preserve">Behold, this has touched your lips; your iniquity is taken away, and your sin purged</t>
  </si>
  <si>
    <t xml:space="preserve">Isaiah 6:7</t>
  </si>
  <si>
    <t xml:space="preserve">God (through the seraph)</t>
  </si>
  <si>
    <t xml:space="preserve">Isaiah</t>
  </si>
  <si>
    <t xml:space="preserve">Forgiveness / Cleansing</t>
  </si>
  <si>
    <t xml:space="preserve">The Lord Himself will give a sign: the virgin shall conceive and bear a Son, and shall call His name Immanuel</t>
  </si>
  <si>
    <t xml:space="preserve">Isaiah 7:14</t>
  </si>
  <si>
    <t xml:space="preserve">House of David</t>
  </si>
  <si>
    <t xml:space="preserve">Unto us a Child is born, a Son is given; the government will be upon His shoulder — Wonderful, Counselor, Mighty God, Everlasting Father, Prince of Peace</t>
  </si>
  <si>
    <t xml:space="preserve">Isaiah 9:6</t>
  </si>
  <si>
    <t xml:space="preserve">Israel / All nations</t>
  </si>
  <si>
    <t xml:space="preserve">Of the increase of His government and peace there will be no end, upon the throne of David; the zeal of the LORD of hosts will perform this</t>
  </si>
  <si>
    <t xml:space="preserve">Isaiah 9:7</t>
  </si>
  <si>
    <t xml:space="preserve">In that day his burden will be taken away from your shoulder, and the yoke will be destroyed because of the anointing oil</t>
  </si>
  <si>
    <t xml:space="preserve">Isaiah 10:27</t>
  </si>
  <si>
    <t xml:space="preserve">A Rod shall come from the stem of Jesse; the Spirit of the LORD shall rest upon Him — wisdom, understanding, counsel, might, knowledge, and the fear of the LORD</t>
  </si>
  <si>
    <t xml:space="preserve">Isaiah 11:1-2</t>
  </si>
  <si>
    <t xml:space="preserve">Israel / Messiah</t>
  </si>
  <si>
    <t xml:space="preserve">Messiah / Holy Spirit</t>
  </si>
  <si>
    <t xml:space="preserve">The wolf shall dwell with the lamb; they shall not hurt nor destroy in all My holy mountain, for the earth shall be full of the knowledge of the LORD</t>
  </si>
  <si>
    <t xml:space="preserve">Isaiah 11:6-9</t>
  </si>
  <si>
    <t xml:space="preserve">New Creation / Peace</t>
  </si>
  <si>
    <t xml:space="preserve">The Root of Jesse shall stand as a banner to the peoples; the Gentiles shall seek Him, and the LORD will recover the remnant of His people a second time</t>
  </si>
  <si>
    <t xml:space="preserve">Isaiah 11:10-12</t>
  </si>
  <si>
    <t xml:space="preserve">Israel / Gentiles</t>
  </si>
  <si>
    <t xml:space="preserve">Messiah / Restoration</t>
  </si>
  <si>
    <t xml:space="preserve">Behold, God is my salvation; I will trust and not be afraid, for the LORD is my strength and song</t>
  </si>
  <si>
    <t xml:space="preserve">Isaiah 12:2</t>
  </si>
  <si>
    <t xml:space="preserve">The redeemed</t>
  </si>
  <si>
    <t xml:space="preserve">Salvation / Strength</t>
  </si>
  <si>
    <t xml:space="preserve">The LORD will have mercy on Jacob, still choose Israel, and settle them in their own land</t>
  </si>
  <si>
    <t xml:space="preserve">Isaiah 14:1</t>
  </si>
  <si>
    <t xml:space="preserve">The LORD of hosts has sworn: as I have purposed, so it shall stand — I will break the Assyrian in My land</t>
  </si>
  <si>
    <t xml:space="preserve">Isaiah 14:24-25</t>
  </si>
  <si>
    <t xml:space="preserve">Judgment / Deliverance</t>
  </si>
  <si>
    <t xml:space="preserve">The LORD will strike Egypt — striking and healing; they will return to the LORD, and He will be entreated by them and heal them</t>
  </si>
  <si>
    <t xml:space="preserve">Isaiah 19:22</t>
  </si>
  <si>
    <t xml:space="preserve">Egypt</t>
  </si>
  <si>
    <t xml:space="preserve">Healing / Restoration</t>
  </si>
  <si>
    <t xml:space="preserve">In that day Israel will be one of three with Egypt and Assyria — a blessing in the midst of the land, whom the LORD of hosts shall bless: Blessed is Egypt My people, Assyria the work of My hands, and Israel My inheritance</t>
  </si>
  <si>
    <t xml:space="preserve">Isaiah 19:24-25</t>
  </si>
  <si>
    <t xml:space="preserve">Egypt / Assyria / Israel</t>
  </si>
  <si>
    <t xml:space="preserve">Blessing / Nations</t>
  </si>
  <si>
    <t xml:space="preserve">In this mountain the LORD of hosts will make for all people a feast of choice pieces, of well-refined wines</t>
  </si>
  <si>
    <t xml:space="preserve">Isaiah 25:6</t>
  </si>
  <si>
    <t xml:space="preserve">All peoples</t>
  </si>
  <si>
    <t xml:space="preserve">Provision / Kingdom</t>
  </si>
  <si>
    <t xml:space="preserve">He will swallow up death forever, and the Lord GOD will wipe away tears from all faces</t>
  </si>
  <si>
    <t xml:space="preserve">Isaiah 25:8</t>
  </si>
  <si>
    <t xml:space="preserve">All His people</t>
  </si>
  <si>
    <t xml:space="preserve">Resurrection / Comfort</t>
  </si>
  <si>
    <t xml:space="preserve">It will be said in that day: Behold, this is our God; we have waited for Him, and He will save us; we will be glad and rejoice in His salvation</t>
  </si>
  <si>
    <t xml:space="preserve">Isaiah 25:9</t>
  </si>
  <si>
    <t xml:space="preserve">Salvation / Joy</t>
  </si>
  <si>
    <t xml:space="preserve">You will keep him in perfect peace whose mind is stayed on You, because he trusts in You</t>
  </si>
  <si>
    <t xml:space="preserve">Isaiah 26:3</t>
  </si>
  <si>
    <t xml:space="preserve">LORD, You will establish peace for us, for You have also done all our works in us</t>
  </si>
  <si>
    <t xml:space="preserve">Isaiah 26:12</t>
  </si>
  <si>
    <t xml:space="preserve">Your dead shall live; together with my dead body they shall arise; the earth shall cast out the dead</t>
  </si>
  <si>
    <t xml:space="preserve">Isaiah 26:19</t>
  </si>
  <si>
    <t xml:space="preserve">God's people</t>
  </si>
  <si>
    <t xml:space="preserve">A vineyard of red wine — I, the LORD, keep it; I water it every moment; lest any hurt it, I keep it night and day</t>
  </si>
  <si>
    <t xml:space="preserve">Isaiah 27:2-3</t>
  </si>
  <si>
    <t xml:space="preserve">His vineyard (Israel)</t>
  </si>
  <si>
    <t xml:space="preserve">Protection / Care</t>
  </si>
  <si>
    <t xml:space="preserve">Israel shall blossom and bud, and fill the face of the world with fruit</t>
  </si>
  <si>
    <t xml:space="preserve">Isaiah 27:6</t>
  </si>
  <si>
    <t xml:space="preserve">Fruitfulness</t>
  </si>
  <si>
    <t xml:space="preserve">You will be gathered one by one, O you children of Israel; the great trumpet will be blown, and they will come and worship the LORD in the holy mount at Jerusalem</t>
  </si>
  <si>
    <t xml:space="preserve">Isaiah 27:12-13</t>
  </si>
  <si>
    <t xml:space="preserve">Israel's outcasts</t>
  </si>
  <si>
    <t xml:space="preserve">Restoration / Worship</t>
  </si>
  <si>
    <t xml:space="preserve">Behold, I lay in Zion a stone for a foundation, a tried stone, a precious cornerstone; whoever believes will not act hastily</t>
  </si>
  <si>
    <t xml:space="preserve">Isaiah 28:16</t>
  </si>
  <si>
    <t xml:space="preserve">Zion / Believers</t>
  </si>
  <si>
    <t xml:space="preserve">Messiah / Salvation</t>
  </si>
  <si>
    <t xml:space="preserve">In that day the deaf shall hear the words of the book, and the eyes of the blind shall see out of obscurity; the humble shall increase their joy in the LORD</t>
  </si>
  <si>
    <t xml:space="preserve">Isaiah 29:18-19</t>
  </si>
  <si>
    <t xml:space="preserve">The deaf / The blind / The humble</t>
  </si>
  <si>
    <t xml:space="preserve">Healing / Joy</t>
  </si>
  <si>
    <t xml:space="preserve">In returning and rest you shall be saved; in quietness and confidence shall be your strength</t>
  </si>
  <si>
    <t xml:space="preserve">Isaiah 30:15</t>
  </si>
  <si>
    <t xml:space="preserve">Therefore the LORD will wait, that He may be gracious to you; He will be exalted, that He may have mercy on you; blessed are all those who wait for Him</t>
  </si>
  <si>
    <t xml:space="preserve">Isaiah 30:18</t>
  </si>
  <si>
    <t xml:space="preserve">You shall weep no more; He will be very gracious to you at the sound of your cry; when He hears it, He will answer you</t>
  </si>
  <si>
    <t xml:space="preserve">Isaiah 30:19</t>
  </si>
  <si>
    <t xml:space="preserve">Mercy / Prayer</t>
  </si>
  <si>
    <t xml:space="preserve">Your ears shall hear a word behind you saying, This is the way, walk in it</t>
  </si>
  <si>
    <t xml:space="preserve">Isaiah 30:21</t>
  </si>
  <si>
    <t xml:space="preserve">He will give the rain for your seed, and bread of the increase of the earth; it will be fat and plentiful</t>
  </si>
  <si>
    <t xml:space="preserve">Isaiah 30:23</t>
  </si>
  <si>
    <t xml:space="preserve">Like birds flying about, so will the LORD of hosts defend Jerusalem — defending, He will deliver it; passing over, He will preserve it</t>
  </si>
  <si>
    <t xml:space="preserve">Isaiah 31:5</t>
  </si>
  <si>
    <t xml:space="preserve">Jerusalem</t>
  </si>
  <si>
    <t xml:space="preserve">Until the Spirit is poured upon us from on high, and the wilderness becomes a fruitful field</t>
  </si>
  <si>
    <t xml:space="preserve">Isaiah 32:15</t>
  </si>
  <si>
    <t xml:space="preserve">Holy Spirit / Restoration</t>
  </si>
  <si>
    <t xml:space="preserve">The work of righteousness will be peace, and the effect of righteousness quietness and assurance forever</t>
  </si>
  <si>
    <t xml:space="preserve">Isaiah 32:17</t>
  </si>
  <si>
    <t xml:space="preserve">My people will dwell in a peaceful habitation, in secure dwellings, and in quiet resting places</t>
  </si>
  <si>
    <t xml:space="preserve">Isaiah 32:18</t>
  </si>
  <si>
    <t xml:space="preserve">Peace / Rest</t>
  </si>
  <si>
    <t xml:space="preserve">He will dwell on high; his place of defense will be the fortress of rocks; bread will be given him, his water will be sure</t>
  </si>
  <si>
    <t xml:space="preserve">Isaiah 33:16</t>
  </si>
  <si>
    <t xml:space="preserve">The righteous walker</t>
  </si>
  <si>
    <t xml:space="preserve">Protection / Provision</t>
  </si>
  <si>
    <t xml:space="preserve">Your eyes will see the King in His beauty; they will see the land that is very far off</t>
  </si>
  <si>
    <t xml:space="preserve">Isaiah 33:17</t>
  </si>
  <si>
    <t xml:space="preserve">Glory / Hope</t>
  </si>
  <si>
    <t xml:space="preserve">The LORD is our Judge, our Lawgiver, our King; He will save us</t>
  </si>
  <si>
    <t xml:space="preserve">Isaiah 33:22</t>
  </si>
  <si>
    <t xml:space="preserve">Salvation / Kingdom</t>
  </si>
  <si>
    <t xml:space="preserve">The inhabitant will not say, I am sick; the people who dwell in it will be forgiven their iniquity</t>
  </si>
  <si>
    <t xml:space="preserve">Isaiah 33:24</t>
  </si>
  <si>
    <t xml:space="preserve">Zion's inhabitants</t>
  </si>
  <si>
    <t xml:space="preserve">Healing / Forgiveness</t>
  </si>
  <si>
    <t xml:space="preserve">The wilderness and the wasteland shall be glad; the desert shall rejoice and blossom as the rose; they shall see the glory of the LORD</t>
  </si>
  <si>
    <t xml:space="preserve">Isaiah 35:1-2</t>
  </si>
  <si>
    <t xml:space="preserve">The land / His people</t>
  </si>
  <si>
    <t xml:space="preserve">Restoration / Glory</t>
  </si>
  <si>
    <t xml:space="preserve">Behold, your God will come with vengeance; He will come and save you</t>
  </si>
  <si>
    <t xml:space="preserve">Isaiah 35:4</t>
  </si>
  <si>
    <t xml:space="preserve">The fearful</t>
  </si>
  <si>
    <t xml:space="preserve">Salvation / Justice</t>
  </si>
  <si>
    <t xml:space="preserve">The eyes of the blind shall be opened, the ears of the deaf unstopped; the lame shall leap, and the tongue of the dumb sing</t>
  </si>
  <si>
    <t xml:space="preserve">Isaiah 35:5-6</t>
  </si>
  <si>
    <t xml:space="preserve">Healing / Messiah</t>
  </si>
  <si>
    <t xml:space="preserve">A highway shall be there, and a road, and it shall be called the Highway of Holiness; the redeemed shall walk there, and whoever walks the road shall not go astray</t>
  </si>
  <si>
    <t xml:space="preserve">Isaiah 35:8</t>
  </si>
  <si>
    <t xml:space="preserve">Sanctification / Guidance</t>
  </si>
  <si>
    <t xml:space="preserve">The ransomed of the LORD shall return to Zion with singing; everlasting joy on their heads; sorrow and sighing shall flee away</t>
  </si>
  <si>
    <t xml:space="preserve">Isaiah 35:10</t>
  </si>
  <si>
    <t xml:space="preserve">Joy / Restoration</t>
  </si>
  <si>
    <t xml:space="preserve">The king of Assyria shall not come into this city nor shoot an arrow there; I will defend this city to save it, for My own sake and for My servant David's sake</t>
  </si>
  <si>
    <t xml:space="preserve">Isaiah 37:33-35</t>
  </si>
  <si>
    <t xml:space="preserve">I have heard your prayer, I have seen your tears; surely I will add to your days fifteen years</t>
  </si>
  <si>
    <t xml:space="preserve">Isaiah 38:5</t>
  </si>
  <si>
    <t xml:space="preserve">Comfort, yes, comfort My people! Speak comfort to Jerusalem — her warfare is ended, her iniquity is pardoned</t>
  </si>
  <si>
    <t xml:space="preserve">Isaiah 40:1-2</t>
  </si>
  <si>
    <t xml:space="preserve">Comfort / Forgiveness</t>
  </si>
  <si>
    <t xml:space="preserve">Every valley shall be exalted, every mountain made low, and the glory of the LORD shall be revealed; all flesh shall see it together</t>
  </si>
  <si>
    <t xml:space="preserve">Isaiah 40:4-5</t>
  </si>
  <si>
    <t xml:space="preserve">Revelation / Messiah</t>
  </si>
  <si>
    <t xml:space="preserve">The grass withers, the flower fades, but the word of our God stands forever</t>
  </si>
  <si>
    <t xml:space="preserve">Isaiah 40:8</t>
  </si>
  <si>
    <t xml:space="preserve">Behold, the Lord GOD shall come with a strong hand; behold, His reward is with Him, and His work before Him</t>
  </si>
  <si>
    <t xml:space="preserve">Isaiah 40:10</t>
  </si>
  <si>
    <t xml:space="preserve">Second Coming / Reward</t>
  </si>
  <si>
    <t xml:space="preserve">He will feed His flock like a shepherd, gather the lambs with His arm, and gently lead those who are with young</t>
  </si>
  <si>
    <t xml:space="preserve">Isaiah 40:11</t>
  </si>
  <si>
    <t xml:space="preserve">His flock</t>
  </si>
  <si>
    <t xml:space="preserve">Comfort / Provision</t>
  </si>
  <si>
    <t xml:space="preserve">He gives power to the weak, and to those who have no might He increases strength</t>
  </si>
  <si>
    <t xml:space="preserve">Isaiah 40:29</t>
  </si>
  <si>
    <t xml:space="preserve">The weak</t>
  </si>
  <si>
    <t xml:space="preserve">Those who wait on the LORD shall renew their strength; they shall mount up with wings like eagles, run and not be weary, walk and not faint</t>
  </si>
  <si>
    <t xml:space="preserve">Isaiah 40:31</t>
  </si>
  <si>
    <t xml:space="preserve">Those who wait on Him</t>
  </si>
  <si>
    <t xml:space="preserve">Fear not, for I am with you; I will strengthen you, help you, and uphold you with My righteous right hand</t>
  </si>
  <si>
    <t xml:space="preserve">Isaiah 41:10</t>
  </si>
  <si>
    <t xml:space="preserve">Israel / Believers</t>
  </si>
  <si>
    <t xml:space="preserve">Presence / Strength</t>
  </si>
  <si>
    <t xml:space="preserve">I, the LORD your God, hold your right hand, saying to you, Fear not, I will help you</t>
  </si>
  <si>
    <t xml:space="preserve">Isaiah 41:13</t>
  </si>
  <si>
    <t xml:space="preserve">Fear not, you worm Jacob; I will help you, says the LORD and your Redeemer, the Holy One of Israel; I will make you into a new threshing sledge</t>
  </si>
  <si>
    <t xml:space="preserve">Isaiah 41:14-15</t>
  </si>
  <si>
    <t xml:space="preserve">Jacob / Israel</t>
  </si>
  <si>
    <t xml:space="preserve">Help / Strength</t>
  </si>
  <si>
    <t xml:space="preserve">When the poor and needy seek water and there is none, I the LORD will hear them; I will not forsake them</t>
  </si>
  <si>
    <t xml:space="preserve">Isaiah 41:17</t>
  </si>
  <si>
    <t xml:space="preserve">Provision / Faithfulness</t>
  </si>
  <si>
    <t xml:space="preserve">I will open rivers in desolate heights, and fountains in the midst of the valleys; I will make the wilderness a pool of water</t>
  </si>
  <si>
    <t xml:space="preserve">Isaiah 41:18</t>
  </si>
  <si>
    <t xml:space="preserve">Behold My Servant whom I uphold, My Elect One; I have put My Spirit upon Him; He will bring forth justice to the Gentiles</t>
  </si>
  <si>
    <t xml:space="preserve">Isaiah 42:1</t>
  </si>
  <si>
    <t xml:space="preserve">The Messiah / Gentiles</t>
  </si>
  <si>
    <t xml:space="preserve">Messiah / Holy Spirit / Justice</t>
  </si>
  <si>
    <t xml:space="preserve">A bruised reed He will not break, and smoking flax He will not quench; He will bring forth justice for truth</t>
  </si>
  <si>
    <t xml:space="preserve">Isaiah 42:3</t>
  </si>
  <si>
    <t xml:space="preserve">The bruised / The faint</t>
  </si>
  <si>
    <t xml:space="preserve">Mercy / Messiah</t>
  </si>
  <si>
    <t xml:space="preserve">I will give You as a covenant to the people, as a light to the Gentiles</t>
  </si>
  <si>
    <t xml:space="preserve">Isaiah 42:6</t>
  </si>
  <si>
    <t xml:space="preserve">The Messiah / Nations</t>
  </si>
  <si>
    <t xml:space="preserve">Messiah / Covenant</t>
  </si>
  <si>
    <t xml:space="preserve">To open blind eyes, to bring out prisoners from the prison, those who sit in darkness from the prison house</t>
  </si>
  <si>
    <t xml:space="preserve">Isaiah 42:7</t>
  </si>
  <si>
    <t xml:space="preserve">The blind / Prisoners</t>
  </si>
  <si>
    <t xml:space="preserve">Deliverance / Messiah</t>
  </si>
  <si>
    <t xml:space="preserve">Behold, the former things have come to pass, and new things I declare; before they spring forth I tell you of them</t>
  </si>
  <si>
    <t xml:space="preserve">Isaiah 42:9</t>
  </si>
  <si>
    <t xml:space="preserve">Revelation / Faithfulness</t>
  </si>
  <si>
    <t xml:space="preserve">I will bring the blind by a way they did not know; I will make darkness light before them; I will not forsake them</t>
  </si>
  <si>
    <t xml:space="preserve">Isaiah 42:16</t>
  </si>
  <si>
    <t xml:space="preserve">The blind / His people</t>
  </si>
  <si>
    <t xml:space="preserve">Guidance / Faithfulness</t>
  </si>
  <si>
    <t xml:space="preserve">Fear not, for I have redeemed you; I have called you by your name; you are Mine</t>
  </si>
  <si>
    <t xml:space="preserve">Isaiah 43:1</t>
  </si>
  <si>
    <t xml:space="preserve">When you pass through the waters, I will be with you; through the rivers, they shall not overflow you; through the fire, you shall not be burned</t>
  </si>
  <si>
    <t xml:space="preserve">Isaiah 43:2</t>
  </si>
  <si>
    <t xml:space="preserve">Since you were precious in My sight, you have been honored, and I have loved you</t>
  </si>
  <si>
    <t xml:space="preserve">Isaiah 43:4</t>
  </si>
  <si>
    <t xml:space="preserve">Love / Honor</t>
  </si>
  <si>
    <t xml:space="preserve">I will bring your descendants from the east and gather you from the west, north, and south</t>
  </si>
  <si>
    <t xml:space="preserve">Isaiah 43:5-6</t>
  </si>
  <si>
    <t xml:space="preserve">Behold, I will do a new thing; now it shall spring forth — I will even make a road in the wilderness and rivers in the desert</t>
  </si>
  <si>
    <t xml:space="preserve">Isaiah 43:19</t>
  </si>
  <si>
    <t xml:space="preserve">Restoration / New Creation</t>
  </si>
  <si>
    <t xml:space="preserve">I, even I, am He who blots out your transgressions for My own sake, and I will not remember your sins</t>
  </si>
  <si>
    <t xml:space="preserve">Isaiah 43:25</t>
  </si>
  <si>
    <t xml:space="preserve">Israel / The redeemed</t>
  </si>
  <si>
    <t xml:space="preserve">I will pour water on him who is thirsty and floods on the dry ground; I will pour My Spirit on your descendants</t>
  </si>
  <si>
    <t xml:space="preserve">Isaiah 44:3</t>
  </si>
  <si>
    <t xml:space="preserve">Israel's descendants</t>
  </si>
  <si>
    <t xml:space="preserve">Holy Spirit / Provision</t>
  </si>
  <si>
    <t xml:space="preserve">I have blotted out your transgressions like a thick cloud; return to Me, for I have redeemed you</t>
  </si>
  <si>
    <t xml:space="preserve">Isaiah 44:22</t>
  </si>
  <si>
    <t xml:space="preserve">Forgiveness / Redemption</t>
  </si>
  <si>
    <t xml:space="preserve">He confirms the word of His servant and performs the counsel of His messengers; He says to Jerusalem, You shall be inhabited</t>
  </si>
  <si>
    <t xml:space="preserve">Isaiah 44:26</t>
  </si>
  <si>
    <t xml:space="preserve">Faithfulness / Restoration</t>
  </si>
  <si>
    <t xml:space="preserve">I will go before you and make the crooked places straight; I will give you the treasures of darkness and hidden riches of secret places, that you may know that I, the LORD, call you by your name</t>
  </si>
  <si>
    <t xml:space="preserve">Isaiah 45:2-3</t>
  </si>
  <si>
    <t xml:space="preserve">Cyrus</t>
  </si>
  <si>
    <t xml:space="preserve">Guidance / Provision</t>
  </si>
  <si>
    <t xml:space="preserve">Israel shall be saved by the LORD with an everlasting salvation; you shall not be ashamed or disgraced forever and ever</t>
  </si>
  <si>
    <t xml:space="preserve">Isaiah 45:17</t>
  </si>
  <si>
    <t xml:space="preserve">Salvation</t>
  </si>
  <si>
    <t xml:space="preserve">Look to Me and be saved, all you ends of the earth, for I am God and there is no other</t>
  </si>
  <si>
    <t xml:space="preserve">Isaiah 45:22</t>
  </si>
  <si>
    <t xml:space="preserve">I have sworn by Myself: to Me every knee shall bow, every tongue shall take an oath</t>
  </si>
  <si>
    <t xml:space="preserve">Isaiah 45:23</t>
  </si>
  <si>
    <t xml:space="preserve">Kingdom / Worship</t>
  </si>
  <si>
    <t xml:space="preserve">Even to your old age I am He; even to gray hairs I will carry you; I have made, I will bear, I will carry, and I will deliver you</t>
  </si>
  <si>
    <t xml:space="preserve">Isaiah 46:4</t>
  </si>
  <si>
    <t xml:space="preserve">Israel / His people</t>
  </si>
  <si>
    <t xml:space="preserve">Faithfulness / Deliverance</t>
  </si>
  <si>
    <t xml:space="preserve">My counsel shall stand, and I will do all My pleasure; indeed I have spoken it; I will also bring it to pass</t>
  </si>
  <si>
    <t xml:space="preserve">Isaiah 46:10-11</t>
  </si>
  <si>
    <t xml:space="preserve">Faithfulness / Sovereignty</t>
  </si>
  <si>
    <t xml:space="preserve">I am the LORD your God, who teaches you to profit, who leads you by the way you should go</t>
  </si>
  <si>
    <t xml:space="preserve">Isaiah 48:17</t>
  </si>
  <si>
    <t xml:space="preserve">Wisdom / Guidance</t>
  </si>
  <si>
    <t xml:space="preserve">It is too small a thing that You should raise up the tribes of Jacob; I will also give You as a light to the Gentiles, that You should be My salvation to the ends of the earth</t>
  </si>
  <si>
    <t xml:space="preserve">Isaiah 49:6</t>
  </si>
  <si>
    <t xml:space="preserve">The Messiah / All nations</t>
  </si>
  <si>
    <t xml:space="preserve">In an acceptable time I have heard You, and in the day of salvation I have helped You; I will preserve You and give You as a covenant to the people, to restore the earth, to say to the prisoners, Go forth</t>
  </si>
  <si>
    <t xml:space="preserve">Isaiah 49:8-9</t>
  </si>
  <si>
    <t xml:space="preserve">The Servant / Prisoners</t>
  </si>
  <si>
    <t xml:space="preserve">Messiah / Deliverance</t>
  </si>
  <si>
    <t xml:space="preserve">They shall neither hunger nor thirst; neither heat nor sun shall strike them; He who has mercy on them will lead them, even by the springs of water He will guide them</t>
  </si>
  <si>
    <t xml:space="preserve">Isaiah 49:10</t>
  </si>
  <si>
    <t xml:space="preserve">The returning redeemed</t>
  </si>
  <si>
    <t xml:space="preserve">Provision / Guidance</t>
  </si>
  <si>
    <t xml:space="preserve">The LORD has comforted His people, and will have mercy on His afflicted</t>
  </si>
  <si>
    <t xml:space="preserve">Isaiah 49:13</t>
  </si>
  <si>
    <t xml:space="preserve">Comfort / Mercy</t>
  </si>
  <si>
    <t xml:space="preserve">Can a woman forget her nursing child? Surely they may forget, yet I will not forget you; I have inscribed you on the palms of My hands</t>
  </si>
  <si>
    <t xml:space="preserve">Isaiah 49:15-16</t>
  </si>
  <si>
    <t xml:space="preserve">Faithfulness / Love</t>
  </si>
  <si>
    <t xml:space="preserve">Kings shall be your foster fathers and their queens your nursing mothers; you shall know that I am the LORD, for they shall not be ashamed who wait for Me</t>
  </si>
  <si>
    <t xml:space="preserve">Isaiah 49:23</t>
  </si>
  <si>
    <t xml:space="preserve">Zion / Those who wait</t>
  </si>
  <si>
    <t xml:space="preserve">Honor / Faithfulness</t>
  </si>
  <si>
    <t xml:space="preserve">I will contend with him who contends with you, and I will save your children</t>
  </si>
  <si>
    <t xml:space="preserve">Isaiah 49:25</t>
  </si>
  <si>
    <t xml:space="preserve">The LORD will comfort Zion; He will comfort all her waste places; He will make her wilderness like Eden — joy and gladness will be found in it</t>
  </si>
  <si>
    <t xml:space="preserve">Isaiah 51:3</t>
  </si>
  <si>
    <t xml:space="preserve">Comfort / Restoration</t>
  </si>
  <si>
    <t xml:space="preserve">My salvation will be forever, and My righteousness will not be abolished</t>
  </si>
  <si>
    <t xml:space="preserve">Isaiah 51:6</t>
  </si>
  <si>
    <t xml:space="preserve">The redeemed of the LORD shall return and come to Zion with singing; everlasting joy shall be on their heads</t>
  </si>
  <si>
    <t xml:space="preserve">Isaiah 51:11</t>
  </si>
  <si>
    <t xml:space="preserve">I, even I, am He who comforts you</t>
  </si>
  <si>
    <t xml:space="preserve">Isaiah 51:12</t>
  </si>
  <si>
    <t xml:space="preserve">Comfort</t>
  </si>
  <si>
    <t xml:space="preserve">I have taken out of your hand the cup of trembling; you shall no longer drink it</t>
  </si>
  <si>
    <t xml:space="preserve">Isaiah 51:22</t>
  </si>
  <si>
    <t xml:space="preserve">Deliverance / Mercy</t>
  </si>
  <si>
    <t xml:space="preserve">The LORD has comforted His people, He has redeemed Jerusalem; the LORD has made bare His holy arm in the eyes of all the nations, and all the ends of the earth shall see the salvation of our God</t>
  </si>
  <si>
    <t xml:space="preserve">Isaiah 52:9-10</t>
  </si>
  <si>
    <t xml:space="preserve">Jerusalem / All the earth</t>
  </si>
  <si>
    <t xml:space="preserve">Redemption / Salvation</t>
  </si>
  <si>
    <t xml:space="preserve">You shall not go out with haste, for the LORD will go before you, and the God of Israel will be your rear guard</t>
  </si>
  <si>
    <t xml:space="preserve">Isaiah 52:12</t>
  </si>
  <si>
    <t xml:space="preserve">The returning exiles</t>
  </si>
  <si>
    <t xml:space="preserve">Behold, My Servant shall deal prudently; He shall be exalted and extolled and be very high; so shall He sprinkle many nations</t>
  </si>
  <si>
    <t xml:space="preserve">Isaiah 52:13-15</t>
  </si>
  <si>
    <t xml:space="preserve">The Servant / Many nations</t>
  </si>
  <si>
    <t xml:space="preserve">Messiah / Cleansing</t>
  </si>
  <si>
    <t xml:space="preserve">Surely He has borne our griefs and carried our sorrows</t>
  </si>
  <si>
    <t xml:space="preserve">Isaiah 53:4</t>
  </si>
  <si>
    <t xml:space="preserve">All who believe</t>
  </si>
  <si>
    <t xml:space="preserve">Messiah / Substitution</t>
  </si>
  <si>
    <t xml:space="preserve">He was wounded for our transgressions, bruised for our iniquities; the chastisement for our peace was upon Him, and by His stripes we are healed</t>
  </si>
  <si>
    <t xml:space="preserve">Isaiah 53:5</t>
  </si>
  <si>
    <t xml:space="preserve">Redemption / Healing / Messiah</t>
  </si>
  <si>
    <t xml:space="preserve">All we like sheep have gone astray, and the LORD has laid on Him the iniquity of us all</t>
  </si>
  <si>
    <t xml:space="preserve">Isaiah 53:6</t>
  </si>
  <si>
    <t xml:space="preserve">Atonement / Substitution</t>
  </si>
  <si>
    <t xml:space="preserve">When You make His soul an offering for sin, He shall see His seed and prolong His days; by His knowledge My righteous Servant shall justify many</t>
  </si>
  <si>
    <t xml:space="preserve">Isaiah 53:10-11</t>
  </si>
  <si>
    <t xml:space="preserve">The Messiah / The many</t>
  </si>
  <si>
    <t xml:space="preserve">Atonement / Justification</t>
  </si>
  <si>
    <t xml:space="preserve">I will divide Him a portion with the great, because He poured out His soul unto death and bore the sin of many</t>
  </si>
  <si>
    <t xml:space="preserve">Isaiah 53:12</t>
  </si>
  <si>
    <t xml:space="preserve">Do not fear, for you will not be ashamed; you will forget the shame of your youth, for your Maker is your husband — the LORD of hosts is His name</t>
  </si>
  <si>
    <t xml:space="preserve">Isaiah 54:4-5</t>
  </si>
  <si>
    <t xml:space="preserve">Israel / The forsaken</t>
  </si>
  <si>
    <t xml:space="preserve">Honor / Love</t>
  </si>
  <si>
    <t xml:space="preserve">For a mere moment I have forsaken you, but with great mercies I will gather you; with everlasting kindness I will have mercy on you, says the LORD, your Redeemer</t>
  </si>
  <si>
    <t xml:space="preserve">Isaiah 54:7-8</t>
  </si>
  <si>
    <t xml:space="preserve">As I have sworn that the waters of Noah would no longer cover the earth, so have I sworn that I would not be angry with you, nor rebuke you</t>
  </si>
  <si>
    <t xml:space="preserve">Isaiah 54:9</t>
  </si>
  <si>
    <t xml:space="preserve">Faithfulness / Mercy</t>
  </si>
  <si>
    <t xml:space="preserve">The mountains shall depart and the hills be removed, but My kindness shall not depart from you, nor shall My covenant of peace be removed</t>
  </si>
  <si>
    <t xml:space="preserve">Isaiah 54:10</t>
  </si>
  <si>
    <t xml:space="preserve">All your children shall be taught by the LORD, and great shall be the peace of your children</t>
  </si>
  <si>
    <t xml:space="preserve">Isaiah 54:13</t>
  </si>
  <si>
    <t xml:space="preserve">Zion's children</t>
  </si>
  <si>
    <t xml:space="preserve">Peace / Wisdom</t>
  </si>
  <si>
    <t xml:space="preserve">In righteousness you shall be established; you shall be far from oppression, for you shall not fear</t>
  </si>
  <si>
    <t xml:space="preserve">Isaiah 54:14</t>
  </si>
  <si>
    <t xml:space="preserve">Peace / Security</t>
  </si>
  <si>
    <t xml:space="preserve">No weapon formed against you shall prosper, and every tongue which rises against you in judgment you shall condemn — this is the heritage of the servants of the LORD</t>
  </si>
  <si>
    <t xml:space="preserve">Isaiah 54:17</t>
  </si>
  <si>
    <t xml:space="preserve">Servants of the LORD</t>
  </si>
  <si>
    <t xml:space="preserve">Protection / Inheritance</t>
  </si>
  <si>
    <t xml:space="preserve">Everyone who thirsts, come to the waters; buy wine and milk without money and without price</t>
  </si>
  <si>
    <t xml:space="preserve">Isaiah 55:1</t>
  </si>
  <si>
    <t xml:space="preserve">All who thirst</t>
  </si>
  <si>
    <t xml:space="preserve">Salvation / Provision</t>
  </si>
  <si>
    <t xml:space="preserve">Incline your ear and come to Me; hear, and your soul shall live; I will make an everlasting covenant with you — the sure mercies of David</t>
  </si>
  <si>
    <t xml:space="preserve">Isaiah 55:3</t>
  </si>
  <si>
    <t xml:space="preserve">All who come</t>
  </si>
  <si>
    <t xml:space="preserve">Covenant / Life</t>
  </si>
  <si>
    <t xml:space="preserve">Let the wicked forsake his way and return to the LORD, and He will have mercy on him, and He will abundantly pardon</t>
  </si>
  <si>
    <t xml:space="preserve">Isaiah 55:6-7</t>
  </si>
  <si>
    <t xml:space="preserve">Mercy / Forgiveness</t>
  </si>
  <si>
    <t xml:space="preserve">My word that goes forth from My mouth shall not return to Me void, but shall accomplish what I please and prosper in the thing for which I sent it</t>
  </si>
  <si>
    <t xml:space="preserve">Isaiah 55:11</t>
  </si>
  <si>
    <t xml:space="preserve">All hearers</t>
  </si>
  <si>
    <t xml:space="preserve">You shall go out with joy and be led out with peace; the mountains and the hills shall break forth into singing before you</t>
  </si>
  <si>
    <t xml:space="preserve">Isaiah 55:12-13</t>
  </si>
  <si>
    <t xml:space="preserve">Joy / Peace</t>
  </si>
  <si>
    <t xml:space="preserve">To the eunuchs who keep My covenant I will give in My house a name better than sons and daughters — an everlasting name that shall not be cut off</t>
  </si>
  <si>
    <t xml:space="preserve">Isaiah 56:5</t>
  </si>
  <si>
    <t xml:space="preserve">Faithful outsiders</t>
  </si>
  <si>
    <t xml:space="preserve">Inheritance / Blessing</t>
  </si>
  <si>
    <t xml:space="preserve">Even them I will bring to My holy mountain and make them joyful in My house of prayer — for My house shall be called a house of prayer for all nations</t>
  </si>
  <si>
    <t xml:space="preserve">Isaiah 56:7</t>
  </si>
  <si>
    <t xml:space="preserve">Foreigners who join the LORD</t>
  </si>
  <si>
    <t xml:space="preserve">Access / Prayer / Nations</t>
  </si>
  <si>
    <t xml:space="preserve">He who puts his trust in Me shall possess the land, and shall inherit My holy mountain</t>
  </si>
  <si>
    <t xml:space="preserve">Isaiah 57:13</t>
  </si>
  <si>
    <t xml:space="preserve">I dwell in the high and holy place, with him who has a contrite and humble spirit, to revive the spirit of the humble</t>
  </si>
  <si>
    <t xml:space="preserve">Isaiah 57:15</t>
  </si>
  <si>
    <t xml:space="preserve">The contrite</t>
  </si>
  <si>
    <t xml:space="preserve">I have seen his ways and will heal him; I will lead him and restore comforts to him; Peace, peace to him who is far off and to him who is near</t>
  </si>
  <si>
    <t xml:space="preserve">Isaiah 57:18-19</t>
  </si>
  <si>
    <t xml:space="preserve">The penitent</t>
  </si>
  <si>
    <t xml:space="preserve">Healing / Peace</t>
  </si>
  <si>
    <t xml:space="preserve">If you pour yourself out for the hungry, your light shall break forth like the morning; your healing shall spring forth speedily; you shall call, and the LORD will answer</t>
  </si>
  <si>
    <t xml:space="preserve">Isaiah 58:8-9</t>
  </si>
  <si>
    <t xml:space="preserve">If you extend your soul to the hungry, then your light shall dawn in the darkness, and the LORD will guide you continually, and satisfy your soul in drought, and strengthen your bones</t>
  </si>
  <si>
    <t xml:space="preserve">Isaiah 58:10-11</t>
  </si>
  <si>
    <t xml:space="preserve">The LORD will guide you continually and satisfy your soul in drought; you shall be like a watered garden</t>
  </si>
  <si>
    <t xml:space="preserve">Isaiah 58:11</t>
  </si>
  <si>
    <t xml:space="preserve">Those from among you shall build the old waste places; you shall be called the Repairer of the Breach, the Restorer of Streets to Dwell In</t>
  </si>
  <si>
    <t xml:space="preserve">Isaiah 58:12</t>
  </si>
  <si>
    <t xml:space="preserve">Restoration / Identity</t>
  </si>
  <si>
    <t xml:space="preserve">Then you shall delight yourself in the LORD; I will cause you to ride on the high hills of the earth and feed you with the heritage of Jacob</t>
  </si>
  <si>
    <t xml:space="preserve">Isaiah 58:14</t>
  </si>
  <si>
    <t xml:space="preserve">Sabbath-keepers</t>
  </si>
  <si>
    <t xml:space="preserve">Blessing / Inheritance</t>
  </si>
  <si>
    <t xml:space="preserve">Behold, the LORD's hand is not shortened, that it cannot save; nor His ear heavy, that it cannot hear</t>
  </si>
  <si>
    <t xml:space="preserve">Isaiah 59:1</t>
  </si>
  <si>
    <t xml:space="preserve">Salvation / Prayer</t>
  </si>
  <si>
    <t xml:space="preserve">When the enemy comes in like a flood, the Spirit of the LORD will lift up a standard against him</t>
  </si>
  <si>
    <t xml:space="preserve">Isaiah 59:19</t>
  </si>
  <si>
    <t xml:space="preserve">Those who fear His name</t>
  </si>
  <si>
    <t xml:space="preserve">Protection / Holy Spirit</t>
  </si>
  <si>
    <t xml:space="preserve">The Redeemer will come to Zion, and to those who turn from transgression in Jacob; My Spirit and My words will not depart from you or your descendants forever</t>
  </si>
  <si>
    <t xml:space="preserve">Isaiah 59:20-21</t>
  </si>
  <si>
    <t xml:space="preserve">Zion / The repentant</t>
  </si>
  <si>
    <t xml:space="preserve">Messiah / Holy Spirit / Covenant</t>
  </si>
  <si>
    <t xml:space="preserve">Arise, shine, for your light has come, and the glory of the LORD is risen upon you; the Gentiles shall come to your light, and kings to the brightness of your rising</t>
  </si>
  <si>
    <t xml:space="preserve">Isaiah 60:1-3</t>
  </si>
  <si>
    <t xml:space="preserve">Zion / The Gentiles</t>
  </si>
  <si>
    <t xml:space="preserve">Glory / Nations</t>
  </si>
  <si>
    <t xml:space="preserve">Your gates shall be open continually; they shall not be shut day or night, that men may bring to you the wealth of the Gentiles</t>
  </si>
  <si>
    <t xml:space="preserve">Isaiah 60:11</t>
  </si>
  <si>
    <t xml:space="preserve">Provision / Access</t>
  </si>
  <si>
    <t xml:space="preserve">Whereas you have been forsaken and hated, I will make you an eternal excellence, a joy of many generations; you shall know that I, the LORD, am your Savior and your Redeemer</t>
  </si>
  <si>
    <t xml:space="preserve">Isaiah 60:15-16</t>
  </si>
  <si>
    <t xml:space="preserve">Honor / Redemption</t>
  </si>
  <si>
    <t xml:space="preserve">The LORD will be to you an everlasting light and your God your glory; your sun shall no longer go down; the days of your mourning shall be ended</t>
  </si>
  <si>
    <t xml:space="preserve">Isaiah 60:19-20</t>
  </si>
  <si>
    <t xml:space="preserve">Presence / Eschatology</t>
  </si>
  <si>
    <t xml:space="preserve">Your people shall all be righteous; they shall inherit the land forever; a little one shall become a thousand — I, the LORD, will hasten it in its time</t>
  </si>
  <si>
    <t xml:space="preserve">Isaiah 60:21-22</t>
  </si>
  <si>
    <t xml:space="preserve">Zion's people</t>
  </si>
  <si>
    <t xml:space="preserve">Righteousness / Inheritance</t>
  </si>
  <si>
    <t xml:space="preserve">The Spirit of the Lord GOD is upon Me to preach good tidings to the poor, heal the brokenhearted, proclaim liberty to the captives, and give beauty for ashes</t>
  </si>
  <si>
    <t xml:space="preserve">Isaiah 61:1-3</t>
  </si>
  <si>
    <t xml:space="preserve">God (through the Messiah's declaration)</t>
  </si>
  <si>
    <t xml:space="preserve">The poor and brokenhearted</t>
  </si>
  <si>
    <t xml:space="preserve">Messiah / Healing / Comfort</t>
  </si>
  <si>
    <t xml:space="preserve">You shall be named the priests of the LORD; they shall call you the servants of our God; you shall eat the riches of the Gentiles</t>
  </si>
  <si>
    <t xml:space="preserve">Isaiah 61:6</t>
  </si>
  <si>
    <t xml:space="preserve">Priesthood / Provision</t>
  </si>
  <si>
    <t xml:space="preserve">Instead of your shame you shall have double honor; everlasting joy shall be theirs, for I, the LORD, love justice; I will make with them an everlasting covenant</t>
  </si>
  <si>
    <t xml:space="preserve">Isaiah 61:7-8</t>
  </si>
  <si>
    <t xml:space="preserve">Honor / Covenant / Joy</t>
  </si>
  <si>
    <t xml:space="preserve">You shall be called by a new name which the mouth of the LORD will name; you shall no longer be termed Forsaken, but you shall be called Hephzibah — for the LORD delights in you</t>
  </si>
  <si>
    <t xml:space="preserve">Isaiah 62:2-4</t>
  </si>
  <si>
    <t xml:space="preserve">Identity / Love</t>
  </si>
  <si>
    <t xml:space="preserve">Surely your salvation is coming; behold, His reward is with Him, and His work before Him</t>
  </si>
  <si>
    <t xml:space="preserve">Isaiah 62:11</t>
  </si>
  <si>
    <t xml:space="preserve">Salvation / Second Coming</t>
  </si>
  <si>
    <t xml:space="preserve">They shall call them The Holy People, The Redeemed of the LORD; and you shall be called Sought Out, A City Not Forsaken</t>
  </si>
  <si>
    <t xml:space="preserve">Isaiah 62:12</t>
  </si>
  <si>
    <t xml:space="preserve">Redemption / Identity</t>
  </si>
  <si>
    <t xml:space="preserve">In all their affliction He was afflicted, and the Angel of His Presence saved them; in His love and in His pity He redeemed them</t>
  </si>
  <si>
    <t xml:space="preserve">Isaiah 63:9</t>
  </si>
  <si>
    <t xml:space="preserve">Compassion / Redemption</t>
  </si>
  <si>
    <t xml:space="preserve">I will bring forth descendants from Jacob, and from Judah an heir of My mountains; My elect shall inherit it</t>
  </si>
  <si>
    <t xml:space="preserve">Isaiah 65:9</t>
  </si>
  <si>
    <t xml:space="preserve">Jacob / Judah / The elect</t>
  </si>
  <si>
    <t xml:space="preserve">Inheritance / Remnant</t>
  </si>
  <si>
    <t xml:space="preserve">Behold, I create new heavens and a new earth; the former shall not be remembered nor come to mind</t>
  </si>
  <si>
    <t xml:space="preserve">Isaiah 65:17</t>
  </si>
  <si>
    <t xml:space="preserve">New Creation</t>
  </si>
  <si>
    <t xml:space="preserve">Be glad and rejoice forever in what I create; for behold, I create Jerusalem as a rejoicing, and her people a joy; the voice of weeping shall no longer be heard in her</t>
  </si>
  <si>
    <t xml:space="preserve">Isaiah 65:18-19</t>
  </si>
  <si>
    <t xml:space="preserve">New Creation / Joy</t>
  </si>
  <si>
    <t xml:space="preserve">They shall build houses and inhabit them; they shall plant vineyards and eat their fruit; they shall not labor in vain, for they are the descendants of the blessed of the LORD</t>
  </si>
  <si>
    <t xml:space="preserve">Isaiah 65:21-23</t>
  </si>
  <si>
    <t xml:space="preserve">His elect</t>
  </si>
  <si>
    <t xml:space="preserve">Before they call, I will answer; and while they are still speaking, I will hear</t>
  </si>
  <si>
    <t xml:space="preserve">Isaiah 65:24</t>
  </si>
  <si>
    <t xml:space="preserve">On this one will I look: on him who is poor and of a contrite spirit, and who trembles at My word</t>
  </si>
  <si>
    <t xml:space="preserve">Isaiah 66:2</t>
  </si>
  <si>
    <t xml:space="preserve">Favor / Presence</t>
  </si>
  <si>
    <t xml:space="preserve">Behold, I will extend peace to her like a river, and the glory of the Gentiles like a flowing stream; then you shall feed; on her sides shall you be carried</t>
  </si>
  <si>
    <t xml:space="preserve">Isaiah 66:12-13</t>
  </si>
  <si>
    <t xml:space="preserve">Jerusalem / Her children</t>
  </si>
  <si>
    <t xml:space="preserve">Peace / Provision</t>
  </si>
  <si>
    <t xml:space="preserve">As one whom his mother comforts, so I will comfort you; and you shall be comforted in Jerusalem</t>
  </si>
  <si>
    <t xml:space="preserve">Isaiah 66:13</t>
  </si>
  <si>
    <t xml:space="preserve">When you see this, your heart shall rejoice, and your bones shall flourish like grass; the hand of the LORD shall be known to His servants</t>
  </si>
  <si>
    <t xml:space="preserve">Isaiah 66:14</t>
  </si>
  <si>
    <t xml:space="preserve">Joy / Strength</t>
  </si>
  <si>
    <t xml:space="preserve">As the new heavens and the new earth which I will make shall remain before Me, so shall your descendants and your name remain</t>
  </si>
  <si>
    <t xml:space="preserve">Isaiah 66:22</t>
  </si>
  <si>
    <t xml:space="preserve">New Creation / Faithfulness</t>
  </si>
  <si>
    <t xml:space="preserve">Do not be afraid of their faces, for I am with you to deliver you</t>
  </si>
  <si>
    <t xml:space="preserve">Jeremiah 1:8</t>
  </si>
  <si>
    <t xml:space="preserve">Jeremiah</t>
  </si>
  <si>
    <t xml:space="preserve">Presence / Deliverance</t>
  </si>
  <si>
    <t xml:space="preserve">They will fight against you, but they shall not prevail, for I am with you to deliver you</t>
  </si>
  <si>
    <t xml:space="preserve">Jeremiah 1:19</t>
  </si>
  <si>
    <t xml:space="preserve">Return, backsliding Israel, and I will not cause My anger to fall on you, for I am merciful; I will not remain angry forever</t>
  </si>
  <si>
    <t xml:space="preserve">Jeremiah 3:12</t>
  </si>
  <si>
    <t xml:space="preserve">Return, for I am married to you; I will take you and bring you to Zion, and give you shepherds according to My heart</t>
  </si>
  <si>
    <t xml:space="preserve">Jeremiah 3:14-15</t>
  </si>
  <si>
    <t xml:space="preserve">Backsliding Israel</t>
  </si>
  <si>
    <t xml:space="preserve">At that time Jerusalem shall be called The Throne of the LORD, and all the nations shall be gathered to it; the house of Judah shall walk with the house of Israel</t>
  </si>
  <si>
    <t xml:space="preserve">Jeremiah 3:17-18</t>
  </si>
  <si>
    <t xml:space="preserve">Jerusalem / The nations</t>
  </si>
  <si>
    <t xml:space="preserve">Kingdom / Restoration</t>
  </si>
  <si>
    <t xml:space="preserve">Return, you backsliding children, and I will heal your backslidings</t>
  </si>
  <si>
    <t xml:space="preserve">Jeremiah 3:22</t>
  </si>
  <si>
    <t xml:space="preserve">Obey My voice, and I will be your God, and you shall be My people; walk in My ways that it may be well with you</t>
  </si>
  <si>
    <t xml:space="preserve">Jeremiah 7:23</t>
  </si>
  <si>
    <t xml:space="preserve">Covenant / Blessing</t>
  </si>
  <si>
    <t xml:space="preserve">After I have plucked them out, I will return and have compassion on them and bring them back, everyone to his heritage and everyone to his land</t>
  </si>
  <si>
    <t xml:space="preserve">Jeremiah 12:15</t>
  </si>
  <si>
    <t xml:space="preserve">Judah's neighbors</t>
  </si>
  <si>
    <t xml:space="preserve">I will make you a fortified bronze wall; they will fight against you but not prevail; I will deliver you from the hand of the wicked</t>
  </si>
  <si>
    <t xml:space="preserve">Jeremiah 15:20-21</t>
  </si>
  <si>
    <t xml:space="preserve">The days are coming when it shall no more be said, The LORD lives who brought up Israel from Egypt, but, The LORD lives who brought up Israel from the land of the north — for I will bring them back into their land</t>
  </si>
  <si>
    <t xml:space="preserve">Jeremiah 16:14-15</t>
  </si>
  <si>
    <t xml:space="preserve">Restoration / Deliverance</t>
  </si>
  <si>
    <t xml:space="preserve">Blessed is the man who trusts in the LORD; he shall be like a tree planted by the waters, not anxious in drought, never ceasing to yield fruit</t>
  </si>
  <si>
    <t xml:space="preserve">Jeremiah 17:7-8</t>
  </si>
  <si>
    <t xml:space="preserve">I, the LORD, search the heart, I test the mind, even to give every man according to his ways, according to the fruit of his doings</t>
  </si>
  <si>
    <t xml:space="preserve">Jeremiah 17:10</t>
  </si>
  <si>
    <t xml:space="preserve">All people</t>
  </si>
  <si>
    <t xml:space="preserve">The instant I speak concerning a nation to destroy it, if that nation turns from its evil, I will relent of the disaster I thought to bring upon it</t>
  </si>
  <si>
    <t xml:space="preserve">Jeremiah 18:7-8</t>
  </si>
  <si>
    <t xml:space="preserve">Any nation</t>
  </si>
  <si>
    <t xml:space="preserve">I will gather the remnant of My flock out of all countries, bring them back to their folds, and set up shepherds over them; they shall fear no more</t>
  </si>
  <si>
    <t xml:space="preserve">Jeremiah 23:3-4</t>
  </si>
  <si>
    <t xml:space="preserve">Israel's remnant</t>
  </si>
  <si>
    <t xml:space="preserve">Restoration / Peace</t>
  </si>
  <si>
    <t xml:space="preserve">Behold, the days are coming when I will raise to David a Branch of righteousness — a King who shall reign and prosper and execute judgment and righteousness</t>
  </si>
  <si>
    <t xml:space="preserve">Jeremiah 23:5</t>
  </si>
  <si>
    <t xml:space="preserve">Israel / Judah</t>
  </si>
  <si>
    <t xml:space="preserve">In His days Judah will be saved and Israel dwell safely; His name: THE LORD OUR RIGHTEOUSNESS</t>
  </si>
  <si>
    <t xml:space="preserve">Jeremiah 23:6</t>
  </si>
  <si>
    <t xml:space="preserve">The days are coming when they shall no longer say, The LORD lives who brought up Israel from Egypt, but, The LORD lives who led the descendants of Israel from the north country — and they shall dwell in their own land</t>
  </si>
  <si>
    <t xml:space="preserve">Jeremiah 23:7-8</t>
  </si>
  <si>
    <t xml:space="preserve">I will set My eyes on them for good, bring them back, build and plant them, and give them a heart to know Me</t>
  </si>
  <si>
    <t xml:space="preserve">Jeremiah 24:6-7</t>
  </si>
  <si>
    <t xml:space="preserve">Judah's exiles</t>
  </si>
  <si>
    <t xml:space="preserve">Restoration / New Heart</t>
  </si>
  <si>
    <t xml:space="preserve">After seventy years are completed at Babylon, I will visit you and perform My good word toward you, causing you to return to this place</t>
  </si>
  <si>
    <t xml:space="preserve">Jeremiah 29:10</t>
  </si>
  <si>
    <t xml:space="preserve">I know the thoughts I think toward you — thoughts of peace and not of evil, to give you a future and a hope</t>
  </si>
  <si>
    <t xml:space="preserve">Jeremiah 29:11</t>
  </si>
  <si>
    <t xml:space="preserve">Hope / Peace</t>
  </si>
  <si>
    <t xml:space="preserve">You will call upon Me and pray to Me, and I will listen; you will seek Me and find Me when you search for Me with all your heart</t>
  </si>
  <si>
    <t xml:space="preserve">Jeremiah 29:12-13</t>
  </si>
  <si>
    <t xml:space="preserve">I will be found by you and bring you back from your captivity; I will gather you from all the nations</t>
  </si>
  <si>
    <t xml:space="preserve">Jeremiah 29:14</t>
  </si>
  <si>
    <t xml:space="preserve">Behold, the days are coming when I will bring back from captivity My people Israel and Judah, and I will cause them to return to the land I gave to their fathers</t>
  </si>
  <si>
    <t xml:space="preserve">Jeremiah 30:3</t>
  </si>
  <si>
    <t xml:space="preserve">In that day I will break his yoke from your neck and burst your bonds; they shall serve the LORD their God, and David their king, whom I will raise up for them</t>
  </si>
  <si>
    <t xml:space="preserve">Jeremiah 30:8-9</t>
  </si>
  <si>
    <t xml:space="preserve">Do not fear, O Jacob; I will save you from afar and your seed from captivity; though I make a full end of all nations where I scattered you, I will not make a complete end of you</t>
  </si>
  <si>
    <t xml:space="preserve">Jeremiah 30:10-11</t>
  </si>
  <si>
    <t xml:space="preserve">Deliverance / Faithfulness</t>
  </si>
  <si>
    <t xml:space="preserve">All those who devour you shall be devoured, and all your adversaries shall go into captivity; those who plunder you shall become plunder</t>
  </si>
  <si>
    <t xml:space="preserve">Jeremiah 30:16</t>
  </si>
  <si>
    <t xml:space="preserve">Justice / Protection</t>
  </si>
  <si>
    <t xml:space="preserve">I will restore health to you and heal you of your wounds</t>
  </si>
  <si>
    <t xml:space="preserve">Jeremiah 30:17</t>
  </si>
  <si>
    <t xml:space="preserve">Behold, I will bring back the captivity of Jacob's tents; the city shall be built upon its own mound; out of them shall proceed thanksgiving and the voice of those who make merry; I will multiply them, and they shall not diminish</t>
  </si>
  <si>
    <t xml:space="preserve">Jeremiah 30:18-19</t>
  </si>
  <si>
    <t xml:space="preserve">Restoration / Joy</t>
  </si>
  <si>
    <t xml:space="preserve">You shall be My people, and I will be your God</t>
  </si>
  <si>
    <t xml:space="preserve">Jeremiah 30:22</t>
  </si>
  <si>
    <t xml:space="preserve">At the same time I will be the God of all the families of Israel, and they shall be My people</t>
  </si>
  <si>
    <t xml:space="preserve">Jeremiah 31:1</t>
  </si>
  <si>
    <t xml:space="preserve">All Israel's families</t>
  </si>
  <si>
    <t xml:space="preserve">I have loved you with an everlasting love; therefore with lovingkindness I have drawn you</t>
  </si>
  <si>
    <t xml:space="preserve">Jeremiah 31:3</t>
  </si>
  <si>
    <t xml:space="preserve">Love</t>
  </si>
  <si>
    <t xml:space="preserve">Again I will build you, and you shall be rebuilt, O virgin of Israel; you shall again be adorned with your tambourines and go forth in the dances of those who rejoice</t>
  </si>
  <si>
    <t xml:space="preserve">Jeremiah 31:4</t>
  </si>
  <si>
    <t xml:space="preserve">Behold, I will bring them from the north country and gather them from the ends of the earth — the blind and the lame, the woman with child; they shall come with weeping, and with supplications I will lead them, for I am a Father to Israel</t>
  </si>
  <si>
    <t xml:space="preserve">Jeremiah 31:8-9</t>
  </si>
  <si>
    <t xml:space="preserve">Restoration / Fatherhood</t>
  </si>
  <si>
    <t xml:space="preserve">He who scattered Israel will gather him and keep him as a shepherd does his flock</t>
  </si>
  <si>
    <t xml:space="preserve">Jeremiah 31:10</t>
  </si>
  <si>
    <t xml:space="preserve">Israel / The nations</t>
  </si>
  <si>
    <t xml:space="preserve">The LORD has redeemed Jacob and ransomed him from the hand of one stronger than he; they shall come and sing in the height of Zion; their soul shall be like a well-watered garden, and they shall sorrow no more at all</t>
  </si>
  <si>
    <t xml:space="preserve">Jeremiah 31:11-12</t>
  </si>
  <si>
    <t xml:space="preserve">God (through Jeremiah)</t>
  </si>
  <si>
    <t xml:space="preserve">Redemption / Joy</t>
  </si>
  <si>
    <t xml:space="preserve">I will turn their mourning to joy, will comfort them, and make them rejoice rather than sorrow</t>
  </si>
  <si>
    <t xml:space="preserve">Jeremiah 31:13</t>
  </si>
  <si>
    <t xml:space="preserve">Joy / Comfort</t>
  </si>
  <si>
    <t xml:space="preserve">I will satiate the soul of the priests with abundance, and My people shall be satisfied with My goodness</t>
  </si>
  <si>
    <t xml:space="preserve">Jeremiah 31:14</t>
  </si>
  <si>
    <t xml:space="preserve">Priests / His people</t>
  </si>
  <si>
    <t xml:space="preserve">Satisfaction / Provision</t>
  </si>
  <si>
    <t xml:space="preserve">Refrain your voice from weeping; your work shall be rewarded; your children shall come back to their own border; there is hope in your future</t>
  </si>
  <si>
    <t xml:space="preserve">Jeremiah 31:16-17</t>
  </si>
  <si>
    <t xml:space="preserve">Rachel / Israel</t>
  </si>
  <si>
    <t xml:space="preserve">Hope / Restoration</t>
  </si>
  <si>
    <t xml:space="preserve">Is Ephraim My dear son? Is he a pleasant child? Though I spoke against him, I earnestly remember him still; therefore My heart yearns for him; I will surely have mercy on him</t>
  </si>
  <si>
    <t xml:space="preserve">Jeremiah 31:20</t>
  </si>
  <si>
    <t xml:space="preserve">Ephraim</t>
  </si>
  <si>
    <t xml:space="preserve">Mercy / Love</t>
  </si>
  <si>
    <t xml:space="preserve">I have satiated the weary soul, and I have replenished every sorrowful soul</t>
  </si>
  <si>
    <t xml:space="preserve">Jeremiah 31:25</t>
  </si>
  <si>
    <t xml:space="preserve">The weary and sorrowful</t>
  </si>
  <si>
    <t xml:space="preserve">Rest / Comfort</t>
  </si>
  <si>
    <t xml:space="preserve">As I have watched over them to pluck up and break down, so I will watch over them to build and to plant</t>
  </si>
  <si>
    <t xml:space="preserve">Jeremiah 31:28</t>
  </si>
  <si>
    <t xml:space="preserve">Behold, the days are coming when I will make a new covenant with the house of Israel and the house of Judah</t>
  </si>
  <si>
    <t xml:space="preserve">Jeremiah 31:31</t>
  </si>
  <si>
    <t xml:space="preserve">New Covenant</t>
  </si>
  <si>
    <t xml:space="preserve">I will put My law in their minds and write it on their hearts; I will be their God, and they shall be My people</t>
  </si>
  <si>
    <t xml:space="preserve">Jeremiah 31:33</t>
  </si>
  <si>
    <t xml:space="preserve">Israel / New-covenant people</t>
  </si>
  <si>
    <t xml:space="preserve">New Covenant / New Heart</t>
  </si>
  <si>
    <t xml:space="preserve">They all shall know Me, from the least to the greatest; I will forgive their iniquity, and their sin I will remember no more</t>
  </si>
  <si>
    <t xml:space="preserve">Jeremiah 31:34</t>
  </si>
  <si>
    <t xml:space="preserve">New-covenant people</t>
  </si>
  <si>
    <t xml:space="preserve">Forgiveness / Knowledge of God</t>
  </si>
  <si>
    <t xml:space="preserve">If the fixed order of sun, moon, and stars departs from before Me, then the seed of Israel shall cease from being a nation before Me forever</t>
  </si>
  <si>
    <t xml:space="preserve">Jeremiah 31:35-37</t>
  </si>
  <si>
    <t xml:space="preserve">Faithfulness / Nation</t>
  </si>
  <si>
    <t xml:space="preserve">Behold, I am the LORD, the God of all flesh — is there anything too hard for Me?</t>
  </si>
  <si>
    <t xml:space="preserve">Jeremiah 32:27</t>
  </si>
  <si>
    <t xml:space="preserve">Power / Faithfulness</t>
  </si>
  <si>
    <t xml:space="preserve">I will gather them out of all countries where I drove them in My anger; I will bring them back and cause them to dwell safely; they shall be My people, and I will be their God</t>
  </si>
  <si>
    <t xml:space="preserve">Jeremiah 32:37-38</t>
  </si>
  <si>
    <t xml:space="preserve">I will give them one heart and one way to fear Me forever; I will make an everlasting covenant that I will not turn away from doing them good, and I will put My fear in their hearts so they will not depart from Me</t>
  </si>
  <si>
    <t xml:space="preserve">Jeremiah 32:39-40</t>
  </si>
  <si>
    <t xml:space="preserve">I will rejoice over them to do them good, and I will assuredly plant them in this land with all My heart and all My soul</t>
  </si>
  <si>
    <t xml:space="preserve">Jeremiah 32:41</t>
  </si>
  <si>
    <t xml:space="preserve">Just as I have brought all this great calamity, so I will bring on them all the good that I have promised them; fields will be bought in this land of which you say, It is desolate</t>
  </si>
  <si>
    <t xml:space="preserve">Jeremiah 32:42-44</t>
  </si>
  <si>
    <t xml:space="preserve">Call to Me, and I will answer you, and show you great and mighty things which you do not know</t>
  </si>
  <si>
    <t xml:space="preserve">Jeremiah 33:3</t>
  </si>
  <si>
    <t xml:space="preserve">Jeremiah / His people</t>
  </si>
  <si>
    <t xml:space="preserve">Prayer / Revelation</t>
  </si>
  <si>
    <t xml:space="preserve">I will bring health and healing; I will heal them and reveal to them the abundance of peace and truth</t>
  </si>
  <si>
    <t xml:space="preserve">Jeremiah 33:6</t>
  </si>
  <si>
    <t xml:space="preserve">I will cleanse them from all their iniquity, and I will pardon all their iniquities by which they have sinned against Me</t>
  </si>
  <si>
    <t xml:space="preserve">Jeremiah 33:8</t>
  </si>
  <si>
    <t xml:space="preserve">Then it shall be to Me a name of joy, a praise, and an honor before all nations of the earth, who shall hear all the good that I do to them</t>
  </si>
  <si>
    <t xml:space="preserve">Jeremiah 33:9</t>
  </si>
  <si>
    <t xml:space="preserve">Honor / Blessing</t>
  </si>
  <si>
    <t xml:space="preserve">In this place of which you say it is desolate, there shall be heard again the voice of joy and the voice of gladness, the voice of the bridegroom and the voice of the bride</t>
  </si>
  <si>
    <t xml:space="preserve">Jeremiah 33:10-11</t>
  </si>
  <si>
    <t xml:space="preserve">Judah / Jerusalem</t>
  </si>
  <si>
    <t xml:space="preserve">In this place which is desolate there shall again be a dwelling place of shepherds causing their flocks to lie down; the flocks shall again pass under the hands of him who counts them</t>
  </si>
  <si>
    <t xml:space="preserve">Jeremiah 33:12-13</t>
  </si>
  <si>
    <t xml:space="preserve">Judah's cities</t>
  </si>
  <si>
    <t xml:space="preserve">Peace / Restoration</t>
  </si>
  <si>
    <t xml:space="preserve">The days are coming when I will perform the good thing I promised: I will cause to grow up to David a Branch of righteousness</t>
  </si>
  <si>
    <t xml:space="preserve">Jeremiah 33:14-15</t>
  </si>
  <si>
    <t xml:space="preserve">Messiah / Faithfulness</t>
  </si>
  <si>
    <t xml:space="preserve">In those days Judah will be saved, and Jerusalem will dwell safely; and this is the name by which she will be called: THE LORD OUR RIGHTEOUSNESS</t>
  </si>
  <si>
    <t xml:space="preserve">Jeremiah 33:16</t>
  </si>
  <si>
    <t xml:space="preserve">Salvation / Messiah</t>
  </si>
  <si>
    <t xml:space="preserve">David shall never lack a man to sit on the throne of the house of Israel</t>
  </si>
  <si>
    <t xml:space="preserve">Jeremiah 33:17</t>
  </si>
  <si>
    <t xml:space="preserve">If you can break My covenant with the day and night, then My covenant with David may be broken</t>
  </si>
  <si>
    <t xml:space="preserve">Jeremiah 33:20-21</t>
  </si>
  <si>
    <t xml:space="preserve">David's line / Levites</t>
  </si>
  <si>
    <t xml:space="preserve">As the host of heaven cannot be numbered, so will I multiply the descendants of David My servant and the Levites who minister to Me</t>
  </si>
  <si>
    <t xml:space="preserve">Jeremiah 33:22</t>
  </si>
  <si>
    <t xml:space="preserve">David's line / The Levites</t>
  </si>
  <si>
    <t xml:space="preserve">Multiplication / Covenant</t>
  </si>
  <si>
    <t xml:space="preserve">I will deliver you in that day, and you shall not be given into the hand of the men you fear, because you have put your trust in Me</t>
  </si>
  <si>
    <t xml:space="preserve">Jeremiah 39:17-18</t>
  </si>
  <si>
    <t xml:space="preserve">Ebed-Melech</t>
  </si>
  <si>
    <t xml:space="preserve">If you remain in this land, I will build you and not pull you down; do not be afraid of the king of Babylon, for I am with you to save you</t>
  </si>
  <si>
    <t xml:space="preserve">Jeremiah 42:10-12</t>
  </si>
  <si>
    <t xml:space="preserve">Judah's remnant</t>
  </si>
  <si>
    <t xml:space="preserve">I will bring adversity on all flesh, but your life I will give to you as a prize wherever you go</t>
  </si>
  <si>
    <t xml:space="preserve">Jeremiah 45:5</t>
  </si>
  <si>
    <t xml:space="preserve">Baruch</t>
  </si>
  <si>
    <t xml:space="preserve">Do not fear, O Jacob My servant, for I am with you; I will make a complete end of the nations, but I will not make a complete end of you</t>
  </si>
  <si>
    <t xml:space="preserve">Jeremiah 46:27-28</t>
  </si>
  <si>
    <t xml:space="preserve">Faithfulness / Presence</t>
  </si>
  <si>
    <t xml:space="preserve">Leave your fatherless children, I will preserve them alive; and let your widows trust in Me</t>
  </si>
  <si>
    <t xml:space="preserve">Jeremiah 49:11</t>
  </si>
  <si>
    <t xml:space="preserve">The fatherless / Widows</t>
  </si>
  <si>
    <t xml:space="preserve">Preservation / Care</t>
  </si>
  <si>
    <t xml:space="preserve">In those days the iniquity of Israel shall be sought, but there shall be none; and the sins of Judah, but they shall not be found; for I will pardon those whom I preserve</t>
  </si>
  <si>
    <t xml:space="preserve">Jeremiah 50:20</t>
  </si>
  <si>
    <t xml:space="preserve">Through the LORD's mercies we are not consumed, because His compassions fail not; they are new every morning; great is Your faithfulness</t>
  </si>
  <si>
    <t xml:space="preserve">Lamentations 3:22-23</t>
  </si>
  <si>
    <t xml:space="preserve">The LORD is good to those who wait for Him, to the soul who seeks Him</t>
  </si>
  <si>
    <t xml:space="preserve">Lamentations 3:25</t>
  </si>
  <si>
    <t xml:space="preserve">Goodness</t>
  </si>
  <si>
    <t xml:space="preserve">The Lord will not cast off forever; though He causes grief, yet He will show compassion according to the multitude of His mercies</t>
  </si>
  <si>
    <t xml:space="preserve">Lamentations 3:31-32</t>
  </si>
  <si>
    <t xml:space="preserve">Mercy / Comfort</t>
  </si>
  <si>
    <t xml:space="preserve">Although I have scattered them among the countries, yet I shall be a little sanctuary for them in the countries where they have gone</t>
  </si>
  <si>
    <t xml:space="preserve">Ezekiel 11:16</t>
  </si>
  <si>
    <t xml:space="preserve">Israel's exiles</t>
  </si>
  <si>
    <t xml:space="preserve">I will gather you from the peoples, assemble you from the countries, and give you the land of Israel</t>
  </si>
  <si>
    <t xml:space="preserve">Ezekiel 11:17</t>
  </si>
  <si>
    <t xml:space="preserve">I will give them one heart and put a new spirit within them; I will take the stony heart out of their flesh and give them a heart of flesh</t>
  </si>
  <si>
    <t xml:space="preserve">Ezekiel 11:19-20</t>
  </si>
  <si>
    <t xml:space="preserve">New Heart / Holy Spirit</t>
  </si>
  <si>
    <t xml:space="preserve">I will remember My covenant with you in the days of your youth, and I will establish an everlasting covenant with you</t>
  </si>
  <si>
    <t xml:space="preserve">Ezekiel 16:60</t>
  </si>
  <si>
    <t xml:space="preserve">I will establish My covenant with you; then you shall know that I am the LORD, when I provide you an atonement for all you have done</t>
  </si>
  <si>
    <t xml:space="preserve">Ezekiel 16:62-63</t>
  </si>
  <si>
    <t xml:space="preserve">Covenant / Atonement</t>
  </si>
  <si>
    <t xml:space="preserve">I will take a sprig from the highest branch of the high cedar and plant it on a high and prominent mountain; it will bring forth boughs and bear fruit, and under it will dwell birds of every sort</t>
  </si>
  <si>
    <t xml:space="preserve">Ezekiel 17:22-23</t>
  </si>
  <si>
    <t xml:space="preserve">If a wicked man turns from all his sins and does what is lawful, he shall surely live; none of his transgressions shall be remembered against him</t>
  </si>
  <si>
    <t xml:space="preserve">Ezekiel 18:21-22</t>
  </si>
  <si>
    <t xml:space="preserve">Mercy / Life</t>
  </si>
  <si>
    <t xml:space="preserve">Cast away your transgressions and get a new heart and spirit — for I have no pleasure in the death of one who dies; therefore turn and live</t>
  </si>
  <si>
    <t xml:space="preserve">Ezekiel 18:31-32</t>
  </si>
  <si>
    <t xml:space="preserve">On My holy mountain all the house of Israel shall serve Me; there I will accept them</t>
  </si>
  <si>
    <t xml:space="preserve">Ezekiel 20:40</t>
  </si>
  <si>
    <t xml:space="preserve">Worship / Acceptance</t>
  </si>
  <si>
    <t xml:space="preserve">I will accept you as a sweet aroma when I bring you out from the peoples and gather you out of the countries</t>
  </si>
  <si>
    <t xml:space="preserve">Ezekiel 20:41</t>
  </si>
  <si>
    <t xml:space="preserve">Restoration / Acceptance</t>
  </si>
  <si>
    <t xml:space="preserve">When I gather Israel and am hallowed in them, they will dwell in their own land, build houses, plant vineyards, and dwell securely</t>
  </si>
  <si>
    <t xml:space="preserve">Ezekiel 28:25-26</t>
  </si>
  <si>
    <t xml:space="preserve">Indeed I Myself will search for My sheep and seek them out; I will deliver them from all the places where they were scattered on a cloudy and dark day</t>
  </si>
  <si>
    <t xml:space="preserve">Ezekiel 34:11-12</t>
  </si>
  <si>
    <t xml:space="preserve">I will bring them out from the peoples and feed them on the mountains of Israel; I will feed them in good pasture</t>
  </si>
  <si>
    <t xml:space="preserve">Ezekiel 34:13-14</t>
  </si>
  <si>
    <t xml:space="preserve">Restoration / Provision</t>
  </si>
  <si>
    <t xml:space="preserve">I will feed My flock and make them lie down; I will seek the lost, bring back the driven away, bind up the broken, and strengthen the sick</t>
  </si>
  <si>
    <t xml:space="preserve">Ezekiel 34:15-16</t>
  </si>
  <si>
    <t xml:space="preserve">I will save My flock, and they shall no longer be a prey; and I will judge between sheep and sheep</t>
  </si>
  <si>
    <t xml:space="preserve">Ezekiel 34:22</t>
  </si>
  <si>
    <t xml:space="preserve">I will establish one shepherd over them — My servant David — and He shall feed them and be their shepherd</t>
  </si>
  <si>
    <t xml:space="preserve">Ezekiel 34:23</t>
  </si>
  <si>
    <t xml:space="preserve">I, the LORD, will be their God, and My servant David a prince among them; I, the LORD, have spoken</t>
  </si>
  <si>
    <t xml:space="preserve">Ezekiel 34:24</t>
  </si>
  <si>
    <t xml:space="preserve">I will make a covenant of peace with them and cause wild beasts to cease, so they may dwell safely in the wilderness</t>
  </si>
  <si>
    <t xml:space="preserve">Ezekiel 34:25</t>
  </si>
  <si>
    <t xml:space="preserve">Covenant / Peace</t>
  </si>
  <si>
    <t xml:space="preserve">I will make them and the places around My hill a blessing, and cause showers to come down in their season — showers of blessing</t>
  </si>
  <si>
    <t xml:space="preserve">Ezekiel 34:26</t>
  </si>
  <si>
    <t xml:space="preserve">The trees of the field shall yield their fruit, and the earth shall yield her increase; they shall be safe in their land, and I will break the bands of their yoke</t>
  </si>
  <si>
    <t xml:space="preserve">Ezekiel 34:27</t>
  </si>
  <si>
    <t xml:space="preserve">They shall no longer be a prey for the nations; I will raise up for them a garden of renown, and they shall no longer be consumed with hunger</t>
  </si>
  <si>
    <t xml:space="preserve">Ezekiel 34:28-29</t>
  </si>
  <si>
    <t xml:space="preserve">You are My flock, the flock of My pasture; you are men, and I am your God</t>
  </si>
  <si>
    <t xml:space="preserve">Ezekiel 34:31</t>
  </si>
  <si>
    <t xml:space="preserve">Covenant / Care</t>
  </si>
  <si>
    <t xml:space="preserve">I am for you, and I will turn to you, and you shall be tilled and sown; I will multiply men upon you, and I will do better for you than at your beginnings</t>
  </si>
  <si>
    <t xml:space="preserve">Ezekiel 36:9-11</t>
  </si>
  <si>
    <t xml:space="preserve">The mountains of Israel</t>
  </si>
  <si>
    <t xml:space="preserve">Restoration / Multiplication</t>
  </si>
  <si>
    <t xml:space="preserve">I will take you from among the nations, gather you out of all countries, and bring you into your own land</t>
  </si>
  <si>
    <t xml:space="preserve">Ezekiel 36:24</t>
  </si>
  <si>
    <t xml:space="preserve">I will sprinkle clean water on you, and you shall be clean; I will cleanse you from all your filthiness and idols</t>
  </si>
  <si>
    <t xml:space="preserve">Ezekiel 36:25</t>
  </si>
  <si>
    <t xml:space="preserve">Cleansing</t>
  </si>
  <si>
    <t xml:space="preserve">I will give you a new heart and put a new spirit within you; I will take the heart of stone out of your flesh and give you a heart of flesh</t>
  </si>
  <si>
    <t xml:space="preserve">Ezekiel 36:26</t>
  </si>
  <si>
    <t xml:space="preserve">New Heart</t>
  </si>
  <si>
    <t xml:space="preserve">I will put My Spirit within you and cause you to walk in My statutes</t>
  </si>
  <si>
    <t xml:space="preserve">Ezekiel 36:27</t>
  </si>
  <si>
    <t xml:space="preserve">Holy Spirit / Sanctification</t>
  </si>
  <si>
    <t xml:space="preserve">You shall dwell in the land I gave your fathers; you shall be My people, and I will be your God</t>
  </si>
  <si>
    <t xml:space="preserve">Ezekiel 36:28</t>
  </si>
  <si>
    <t xml:space="preserve">I will deliver you from all your uncleannesses; I will call for the grain and multiply it, and bring no famine upon you</t>
  </si>
  <si>
    <t xml:space="preserve">Ezekiel 36:29-30</t>
  </si>
  <si>
    <t xml:space="preserve">Cleansing / Provision</t>
  </si>
  <si>
    <t xml:space="preserve">On the day that I cleanse you from all your iniquities, I will enable you to dwell in the cities, and the ruins shall be rebuilt; they will say, This land that was desolate has become like the garden of Eden</t>
  </si>
  <si>
    <t xml:space="preserve">Ezekiel 36:33-35</t>
  </si>
  <si>
    <t xml:space="preserve">Cleansing / Restoration</t>
  </si>
  <si>
    <t xml:space="preserve">I will also let the house of Israel inquire of Me to do this for them: I will increase their men like a flock</t>
  </si>
  <si>
    <t xml:space="preserve">Ezekiel 36:37-38</t>
  </si>
  <si>
    <t xml:space="preserve">Prayer / Multiplication</t>
  </si>
  <si>
    <t xml:space="preserve">Behold, O My people, I will open your graves and cause you to come up from your graves, and bring you into the land of Israel</t>
  </si>
  <si>
    <t xml:space="preserve">Ezekiel 37:12-13</t>
  </si>
  <si>
    <t xml:space="preserve">Resurrection / Restoration</t>
  </si>
  <si>
    <t xml:space="preserve">I will put My Spirit in you, and you shall live; I will place you in your own land — then you shall know that I, the LORD, have spoken it and performed it</t>
  </si>
  <si>
    <t xml:space="preserve">Ezekiel 37:14</t>
  </si>
  <si>
    <t xml:space="preserve">Holy Spirit / Life</t>
  </si>
  <si>
    <t xml:space="preserve">I will take the children of Israel from among the nations and make them one nation in the land, on the mountains of Israel; and one king shall be king over them all</t>
  </si>
  <si>
    <t xml:space="preserve">Ezekiel 37:21-22</t>
  </si>
  <si>
    <t xml:space="preserve">Restoration / Unity / Kingdom</t>
  </si>
  <si>
    <t xml:space="preserve">I will deliver them from all their dwelling places in which they have sinned, and will cleanse them; then they shall be My people, and I will be their God</t>
  </si>
  <si>
    <t xml:space="preserve">Ezekiel 37:23</t>
  </si>
  <si>
    <t xml:space="preserve">Cleansing / Covenant</t>
  </si>
  <si>
    <t xml:space="preserve">David My servant shall be king over them, and they shall all have one shepherd; they shall dwell in the land forever, and My servant David shall be their prince forever</t>
  </si>
  <si>
    <t xml:space="preserve">Ezekiel 37:24-25</t>
  </si>
  <si>
    <t xml:space="preserve">Messiah / Land / Kingdom</t>
  </si>
  <si>
    <t xml:space="preserve">I will make a covenant of peace — an everlasting covenant; I will set My sanctuary in their midst forevermore; My tabernacle shall be with them</t>
  </si>
  <si>
    <t xml:space="preserve">Ezekiel 37:26-27</t>
  </si>
  <si>
    <t xml:space="preserve">The nations also will know that I, the LORD, sanctify Israel, when My sanctuary is in their midst forevermore</t>
  </si>
  <si>
    <t xml:space="preserve">Ezekiel 37:28</t>
  </si>
  <si>
    <t xml:space="preserve">Sanctification / Presence</t>
  </si>
  <si>
    <t xml:space="preserve">Now I will bring back the captives of Jacob, and have mercy on the whole house of Israel; and I will be jealous for My holy name</t>
  </si>
  <si>
    <t xml:space="preserve">Ezekiel 39:25-26</t>
  </si>
  <si>
    <t xml:space="preserve">I shall leave none of them captive any longer — I will have gathered them to their own land</t>
  </si>
  <si>
    <t xml:space="preserve">Ezekiel 39:28</t>
  </si>
  <si>
    <t xml:space="preserve">I will not hide My face from them anymore, for I shall have poured out My Spirit on the house of Israel</t>
  </si>
  <si>
    <t xml:space="preserve">Ezekiel 39:29</t>
  </si>
  <si>
    <t xml:space="preserve">Holy Spirit / Presence</t>
  </si>
  <si>
    <t xml:space="preserve">This is the place of My throne, where I will dwell in the midst of the children of Israel forever</t>
  </si>
  <si>
    <t xml:space="preserve">Ezekiel 43:7</t>
  </si>
  <si>
    <t xml:space="preserve">Presence / Kingdom</t>
  </si>
  <si>
    <t xml:space="preserve">Everything will live wherever the river goes; there will be a very great multitude of fish, for these waters go there and the waters of the sea are healed</t>
  </si>
  <si>
    <t xml:space="preserve">Ezekiel 47:9</t>
  </si>
  <si>
    <t xml:space="preserve">God (through the vision)</t>
  </si>
  <si>
    <t xml:space="preserve">The land / All life</t>
  </si>
  <si>
    <t xml:space="preserve">Life / Healing</t>
  </si>
  <si>
    <t xml:space="preserve">Along the bank of the river will grow all kinds of trees used for food; their fruit will be for food, and their leaves for medicine</t>
  </si>
  <si>
    <t xml:space="preserve">Ezekiel 47:12</t>
  </si>
  <si>
    <t xml:space="preserve">The name of the city from that day shall be: THE LORD IS THERE</t>
  </si>
  <si>
    <t xml:space="preserve">Ezekiel 48:35</t>
  </si>
  <si>
    <t xml:space="preserve">The city of God</t>
  </si>
  <si>
    <t xml:space="preserve">In the days of these kings the God of heaven will set up a kingdom which shall never be destroyed; it shall stand forever</t>
  </si>
  <si>
    <t xml:space="preserve">Daniel 2:44</t>
  </si>
  <si>
    <t xml:space="preserve">God (through Daniel)</t>
  </si>
  <si>
    <t xml:space="preserve">One like the Son of Man came to the Ancient of Days and was given dominion, glory, and a kingdom that all peoples should serve Him — an everlasting dominion</t>
  </si>
  <si>
    <t xml:space="preserve">Daniel 7:13-14</t>
  </si>
  <si>
    <t xml:space="preserve">The Son of Man / All peoples</t>
  </si>
  <si>
    <t xml:space="preserve">The kingdom and dominion shall be given to the people of the saints of the Most High; His kingdom is an everlasting kingdom</t>
  </si>
  <si>
    <t xml:space="preserve">Daniel 7:27</t>
  </si>
  <si>
    <t xml:space="preserve">The saints</t>
  </si>
  <si>
    <t xml:space="preserve">Kingdom / Inheritance</t>
  </si>
  <si>
    <t xml:space="preserve">Seventy weeks are determined to finish transgression, make an end of sins, make reconciliation for iniquity, and bring in everlasting righteousness</t>
  </si>
  <si>
    <t xml:space="preserve">Daniel 9:24</t>
  </si>
  <si>
    <t xml:space="preserve">God (through Gabriel)</t>
  </si>
  <si>
    <t xml:space="preserve">Daniel's people</t>
  </si>
  <si>
    <t xml:space="preserve">Redemption / Prophecy</t>
  </si>
  <si>
    <t xml:space="preserve">At that time Michael shall stand up, and your people shall be delivered — everyone found written in the book</t>
  </si>
  <si>
    <t xml:space="preserve">Daniel 12:1</t>
  </si>
  <si>
    <t xml:space="preserve">God (through the messenger)</t>
  </si>
  <si>
    <t xml:space="preserve">Many of those who sleep in the dust of the earth shall awake — some to everlasting life, some to shame and everlasting contempt</t>
  </si>
  <si>
    <t xml:space="preserve">Daniel 12:2</t>
  </si>
  <si>
    <t xml:space="preserve">The dead</t>
  </si>
  <si>
    <t xml:space="preserve">Resurrection / Judgment</t>
  </si>
  <si>
    <t xml:space="preserve">Those who are wise shall shine like the brightness of the firmament, and those who turn many to righteousness like the stars forever</t>
  </si>
  <si>
    <t xml:space="preserve">Daniel 12:3</t>
  </si>
  <si>
    <t xml:space="preserve">The wise</t>
  </si>
  <si>
    <t xml:space="preserve">Reward / Glory</t>
  </si>
  <si>
    <t xml:space="preserve">You shall rest, and will arise to your inheritance at the end of the days</t>
  </si>
  <si>
    <t xml:space="preserve">Daniel 12:13</t>
  </si>
  <si>
    <t xml:space="preserve">Daniel</t>
  </si>
  <si>
    <t xml:space="preserve">Resurrection / Inheritance</t>
  </si>
  <si>
    <t xml:space="preserve">The number of Israel shall be as the sand of the sea; where it was said, You are not My people, it shall be said, You are sons of the living God</t>
  </si>
  <si>
    <t xml:space="preserve">Hosea 1:10</t>
  </si>
  <si>
    <t xml:space="preserve">Israel / Gentiles (per Romans 9)</t>
  </si>
  <si>
    <t xml:space="preserve">Restoration / Adoption</t>
  </si>
  <si>
    <t xml:space="preserve">I will betroth you to Me forever in righteousness, justice, lovingkindness, mercy, and faithfulness — and you shall know the LORD</t>
  </si>
  <si>
    <t xml:space="preserve">Hosea 2:19-20</t>
  </si>
  <si>
    <t xml:space="preserve">Covenant / Love</t>
  </si>
  <si>
    <t xml:space="preserve">I will sow her for Myself in the earth; I will have mercy on her who had not obtained mercy; I will say to those who were not My people, You are My people</t>
  </si>
  <si>
    <t xml:space="preserve">Hosea 2:23</t>
  </si>
  <si>
    <t xml:space="preserve">Mercy / Adoption</t>
  </si>
  <si>
    <t xml:space="preserve">Come, let us return to the LORD; He has torn, but He will heal us; after two days He will revive us; on the third day He will raise us up</t>
  </si>
  <si>
    <t xml:space="preserve">Hosea 6:1-2</t>
  </si>
  <si>
    <t xml:space="preserve">God (through Hosea)</t>
  </si>
  <si>
    <t xml:space="preserve">Healing / Resurrection</t>
  </si>
  <si>
    <t xml:space="preserve">How can I give you up, Ephraim? My heart churns within Me; I will not execute the fierceness of My anger, for I am God and not man</t>
  </si>
  <si>
    <t xml:space="preserve">Hosea 11:8-9</t>
  </si>
  <si>
    <t xml:space="preserve">I will ransom them from the power of the grave; I will redeem them from death. O Death, I will be your plagues! O Grave, I will be your destruction!</t>
  </si>
  <si>
    <t xml:space="preserve">Hosea 13:14</t>
  </si>
  <si>
    <t xml:space="preserve">I will heal their backsliding; I will love them freely, for My anger has turned away from him</t>
  </si>
  <si>
    <t xml:space="preserve">Hosea 14:4</t>
  </si>
  <si>
    <t xml:space="preserve">Repentant Israel</t>
  </si>
  <si>
    <t xml:space="preserve">Healing / Love</t>
  </si>
  <si>
    <t xml:space="preserve">Return to the LORD your God, for He is gracious and merciful, slow to anger, of great kindness, and He relents from doing harm</t>
  </si>
  <si>
    <t xml:space="preserve">Joel 2:13</t>
  </si>
  <si>
    <t xml:space="preserve">God (through Joel)</t>
  </si>
  <si>
    <t xml:space="preserve">I will restore to you the years that the swarming locust has eaten</t>
  </si>
  <si>
    <t xml:space="preserve">Joel 2:25</t>
  </si>
  <si>
    <t xml:space="preserve">You shall eat in plenty and be satisfied, and praise the name of the LORD; My people shall never be put to shame</t>
  </si>
  <si>
    <t xml:space="preserve">Joel 2:26</t>
  </si>
  <si>
    <t xml:space="preserve">Provision / Honor</t>
  </si>
  <si>
    <t xml:space="preserve">Afterward I will pour out My Spirit on all flesh; your sons and daughters shall prophesy; on My menservants and maidservants I will pour out My Spirit</t>
  </si>
  <si>
    <t xml:space="preserve">Joel 2:28-29</t>
  </si>
  <si>
    <t xml:space="preserve">Holy Spirit</t>
  </si>
  <si>
    <t xml:space="preserve">Whoever calls on the name of the LORD shall be saved</t>
  </si>
  <si>
    <t xml:space="preserve">Joel 2:32</t>
  </si>
  <si>
    <t xml:space="preserve">The LORD will be a shelter for His people and the strength of the children of Israel</t>
  </si>
  <si>
    <t xml:space="preserve">Joel 3:16</t>
  </si>
  <si>
    <t xml:space="preserve">Seek Me and live</t>
  </si>
  <si>
    <t xml:space="preserve">Amos 5:4</t>
  </si>
  <si>
    <t xml:space="preserve">On that day I will raise up the tabernacle of David which has fallen down, repair its damages, and rebuild it as in the days of old</t>
  </si>
  <si>
    <t xml:space="preserve">Amos 9:11</t>
  </si>
  <si>
    <t xml:space="preserve">Israel / The nations (per Acts 15)</t>
  </si>
  <si>
    <t xml:space="preserve">Restoration / Kingdom</t>
  </si>
  <si>
    <t xml:space="preserve">I will bring back the captives of My people Israel; they shall plant vineyards and drink wine from them; I will plant them in their land, and no longer shall they be pulled up</t>
  </si>
  <si>
    <t xml:space="preserve">Amos 9:14-15</t>
  </si>
  <si>
    <t xml:space="preserve">The day of the LORD is near upon all nations; as you have done, it shall be done to you</t>
  </si>
  <si>
    <t xml:space="preserve">Obadiah 1:15</t>
  </si>
  <si>
    <t xml:space="preserve">Edom / All nations</t>
  </si>
  <si>
    <t xml:space="preserve">On Mount Zion there shall be deliverance, and there shall be holiness; the house of Jacob shall possess their possessions</t>
  </si>
  <si>
    <t xml:space="preserve">Obadiah 1:17</t>
  </si>
  <si>
    <t xml:space="preserve">Zion / Jacob</t>
  </si>
  <si>
    <t xml:space="preserve">Deliverance / Inheritance</t>
  </si>
  <si>
    <t xml:space="preserve">Saviors shall come to Mount Zion to judge the mountains of Esau, and the kingdom shall be the LORD's</t>
  </si>
  <si>
    <t xml:space="preserve">Obadiah 1:21</t>
  </si>
  <si>
    <t xml:space="preserve">Salvation is of the LORD</t>
  </si>
  <si>
    <t xml:space="preserve">Jonah 2:9</t>
  </si>
  <si>
    <t xml:space="preserve">God (through Jonah's confession)</t>
  </si>
  <si>
    <t xml:space="preserve">All who cry to Him</t>
  </si>
  <si>
    <t xml:space="preserve">In the latter days the mountain of the LORD's house shall be established; nations shall beat their swords into plowshares, neither shall they learn war anymore</t>
  </si>
  <si>
    <t xml:space="preserve">Micah 4:1-3</t>
  </si>
  <si>
    <t xml:space="preserve">God (through Micah)</t>
  </si>
  <si>
    <t xml:space="preserve">Kingdom / Peace</t>
  </si>
  <si>
    <t xml:space="preserve">Out of Bethlehem shall come forth the One to be Ruler in Israel, whose goings forth are from of old, from everlasting</t>
  </si>
  <si>
    <t xml:space="preserve">Micah 5:2</t>
  </si>
  <si>
    <t xml:space="preserve">He shall stand and feed His flock in the strength of the LORD; they shall abide, for now He shall be great to the ends of the earth</t>
  </si>
  <si>
    <t xml:space="preserve">Micah 5:4</t>
  </si>
  <si>
    <t xml:space="preserve">Messiah / Provision</t>
  </si>
  <si>
    <t xml:space="preserve">Who is a God like You, pardoning iniquity? He will again have compassion on us and subdue our iniquities; You will cast all our sins into the depths of the sea</t>
  </si>
  <si>
    <t xml:space="preserve">Micah 7:18-19</t>
  </si>
  <si>
    <t xml:space="preserve">The remnant</t>
  </si>
  <si>
    <t xml:space="preserve">You will give truth to Jacob and mercy to Abraham, which You have sworn to our fathers from days of old</t>
  </si>
  <si>
    <t xml:space="preserve">Micah 7:20</t>
  </si>
  <si>
    <t xml:space="preserve">Jacob / Abraham's line</t>
  </si>
  <si>
    <t xml:space="preserve">The LORD is good, a stronghold in the day of trouble, and He knows those who trust in Him</t>
  </si>
  <si>
    <t xml:space="preserve">Nahum 1:7</t>
  </si>
  <si>
    <t xml:space="preserve">God (through Nahum)</t>
  </si>
  <si>
    <t xml:space="preserve">The vision is yet for an appointed time; though it tarries, wait for it; it will surely come, it will not tarry</t>
  </si>
  <si>
    <t xml:space="preserve">Habakkuk 2:3</t>
  </si>
  <si>
    <t xml:space="preserve">Habakkuk</t>
  </si>
  <si>
    <t xml:space="preserve">Faithfulness / Hope</t>
  </si>
  <si>
    <t xml:space="preserve">The just shall live by his faith</t>
  </si>
  <si>
    <t xml:space="preserve">Habakkuk 2:4</t>
  </si>
  <si>
    <t xml:space="preserve">The just</t>
  </si>
  <si>
    <t xml:space="preserve">Faith / Life</t>
  </si>
  <si>
    <t xml:space="preserve">The earth will be filled with the knowledge of the glory of the LORD as the waters cover the sea</t>
  </si>
  <si>
    <t xml:space="preserve">Habakkuk 2:14</t>
  </si>
  <si>
    <t xml:space="preserve">Kingdom / Glory</t>
  </si>
  <si>
    <t xml:space="preserve">Seek the LORD, all you meek of the earth; it may be that you will be hidden in the day of the LORD's anger</t>
  </si>
  <si>
    <t xml:space="preserve">Zephaniah 2:3</t>
  </si>
  <si>
    <t xml:space="preserve">God (through Zephaniah)</t>
  </si>
  <si>
    <t xml:space="preserve">I will restore to the peoples a pure language, that they all may call on the name of the LORD to serve Him with one accord</t>
  </si>
  <si>
    <t xml:space="preserve">Zephaniah 3:9</t>
  </si>
  <si>
    <t xml:space="preserve">The nations</t>
  </si>
  <si>
    <t xml:space="preserve">The LORD has taken away your judgments, cast out your enemy; the King of Israel, the LORD, is in your midst; you shall see disaster no more</t>
  </si>
  <si>
    <t xml:space="preserve">Zephaniah 3:15</t>
  </si>
  <si>
    <t xml:space="preserve">The LORD your God in your midst, the Mighty One, will save; He will rejoice over you with gladness; He will quiet you with His love; He will rejoice over you with singing</t>
  </si>
  <si>
    <t xml:space="preserve">Zephaniah 3:17</t>
  </si>
  <si>
    <t xml:space="preserve">Zion / His people</t>
  </si>
  <si>
    <t xml:space="preserve">Presence / Love / Salvation</t>
  </si>
  <si>
    <t xml:space="preserve">I will save the lame and gather the outcast; I will give you fame and praise among all the peoples when I return your captives before your eyes</t>
  </si>
  <si>
    <t xml:space="preserve">Zephaniah 3:19-20</t>
  </si>
  <si>
    <t xml:space="preserve">Restoration / Honor</t>
  </si>
  <si>
    <t xml:space="preserve">I am with you, says the LORD</t>
  </si>
  <si>
    <t xml:space="preserve">Haggai 1:13</t>
  </si>
  <si>
    <t xml:space="preserve">The returned remnant</t>
  </si>
  <si>
    <t xml:space="preserve">Be strong and work, for I am with you; My Spirit remains among you; do not fear</t>
  </si>
  <si>
    <t xml:space="preserve">Haggai 2:4-5</t>
  </si>
  <si>
    <t xml:space="preserve">Zerubbabel / Joshua / Remnant</t>
  </si>
  <si>
    <t xml:space="preserve">Presence / Holy Spirit</t>
  </si>
  <si>
    <t xml:space="preserve">I will shake all nations, and they shall come to the Desire of All Nations, and I will fill this temple with glory</t>
  </si>
  <si>
    <t xml:space="preserve">Haggai 2:7</t>
  </si>
  <si>
    <t xml:space="preserve">The nations / Israel</t>
  </si>
  <si>
    <t xml:space="preserve">Messiah / Glory</t>
  </si>
  <si>
    <t xml:space="preserve">The glory of this latter temple shall be greater than the former, and in this place I will give peace</t>
  </si>
  <si>
    <t xml:space="preserve">Haggai 2:9</t>
  </si>
  <si>
    <t xml:space="preserve">Peace / Glory</t>
  </si>
  <si>
    <t xml:space="preserve">From this day I will bless you</t>
  </si>
  <si>
    <t xml:space="preserve">Haggai 2:19</t>
  </si>
  <si>
    <t xml:space="preserve">In that day I will take you, Zerubbabel My servant, and make you like a signet ring, for I have chosen you</t>
  </si>
  <si>
    <t xml:space="preserve">Haggai 2:23</t>
  </si>
  <si>
    <t xml:space="preserve">Zerubbabel</t>
  </si>
  <si>
    <t xml:space="preserve">Election / Messiah (line)</t>
  </si>
  <si>
    <t xml:space="preserve">Return to Me, and I will return to you</t>
  </si>
  <si>
    <t xml:space="preserve">Zechariah 1:3</t>
  </si>
  <si>
    <t xml:space="preserve">I am returning to Jerusalem with mercy; My house shall be built in it; My cities shall again spread out through prosperity; the LORD will again comfort Zion</t>
  </si>
  <si>
    <t xml:space="preserve">Zechariah 1:16-17</t>
  </si>
  <si>
    <t xml:space="preserve">Jerusalem / Zion</t>
  </si>
  <si>
    <t xml:space="preserve">I will be a wall of fire all around her, and I will be the glory in her midst</t>
  </si>
  <si>
    <t xml:space="preserve">Zechariah 2:5</t>
  </si>
  <si>
    <t xml:space="preserve">Sing and rejoice, O daughter of Zion, for I am coming and will dwell in your midst; many nations shall be joined to the LORD in that day and shall become My people</t>
  </si>
  <si>
    <t xml:space="preserve">Zechariah 2:10-11</t>
  </si>
  <si>
    <t xml:space="preserve">Zion / The nations</t>
  </si>
  <si>
    <t xml:space="preserve">Behold, I am bringing forth My Servant the BRANCH; I will remove the iniquity of that land in one day</t>
  </si>
  <si>
    <t xml:space="preserve">Zechariah 3:8-9</t>
  </si>
  <si>
    <t xml:space="preserve">Joshua the priest / Israel</t>
  </si>
  <si>
    <t xml:space="preserve">Messiah / Forgiveness</t>
  </si>
  <si>
    <t xml:space="preserve">I will return to Zion and dwell in the midst of Jerusalem; Jerusalem shall be called the City of Truth</t>
  </si>
  <si>
    <t xml:space="preserve">Zechariah 8:3</t>
  </si>
  <si>
    <t xml:space="preserve">I will save My people from the land of the east and the west; they shall dwell in Jerusalem; they shall be My people, and I will be their God in truth and righteousness</t>
  </si>
  <si>
    <t xml:space="preserve">Zechariah 8:7-8</t>
  </si>
  <si>
    <t xml:space="preserve">The seed shall be prosperous, the vine give its fruit, the heavens their dew; as you were a curse among the nations, so I will save you, and you shall be a blessing</t>
  </si>
  <si>
    <t xml:space="preserve">Zechariah 8:12-13</t>
  </si>
  <si>
    <t xml:space="preserve">Behold, your King is coming to you; He is just and having salvation, lowly and riding on a donkey</t>
  </si>
  <si>
    <t xml:space="preserve">Zechariah 9:9</t>
  </si>
  <si>
    <t xml:space="preserve">The LORD their God will save them in that day, as the flock of His people; they shall be like the jewels of a crown</t>
  </si>
  <si>
    <t xml:space="preserve">Zechariah 9:16</t>
  </si>
  <si>
    <t xml:space="preserve">I will strengthen the house of Judah and save the house of Joseph; I will bring them back because I have mercy on them; they shall be as though I had not cast them aside</t>
  </si>
  <si>
    <t xml:space="preserve">Zechariah 10:6</t>
  </si>
  <si>
    <t xml:space="preserve">Judah / Joseph</t>
  </si>
  <si>
    <t xml:space="preserve">Strength / Mercy / Restoration</t>
  </si>
  <si>
    <t xml:space="preserve">I will pour on the house of David and the inhabitants of Jerusalem the Spirit of grace and supplication; they will look on Me whom they pierced and mourn</t>
  </si>
  <si>
    <t xml:space="preserve">Zechariah 12:10</t>
  </si>
  <si>
    <t xml:space="preserve">House of David / Jerusalem</t>
  </si>
  <si>
    <t xml:space="preserve">Holy Spirit / Repentance / Messiah</t>
  </si>
  <si>
    <t xml:space="preserve">In that day a fountain shall be opened for the house of David and the inhabitants of Jerusalem, for sin and for uncleanness</t>
  </si>
  <si>
    <t xml:space="preserve">Zechariah 13:1</t>
  </si>
  <si>
    <t xml:space="preserve">Cleansing / Redemption</t>
  </si>
  <si>
    <t xml:space="preserve">I will bring the third through the fire and refine them as silver; they will call on My name, and I will answer them; I will say, This is My people</t>
  </si>
  <si>
    <t xml:space="preserve">Zechariah 13:9</t>
  </si>
  <si>
    <t xml:space="preserve">The refined remnant</t>
  </si>
  <si>
    <t xml:space="preserve">Sanctification / Covenant</t>
  </si>
  <si>
    <t xml:space="preserve">The LORD shall be King over all the earth; in that day it shall be — the LORD is one, and His name one</t>
  </si>
  <si>
    <t xml:space="preserve">Zechariah 14:9</t>
  </si>
  <si>
    <t xml:space="preserve">God (through Zechariah)</t>
  </si>
  <si>
    <t xml:space="preserve">From the rising of the sun to its going down My name shall be great among the Gentiles; in every place incense shall be offered to My name</t>
  </si>
  <si>
    <t xml:space="preserve">Malachi 1:11</t>
  </si>
  <si>
    <t xml:space="preserve">The Gentiles</t>
  </si>
  <si>
    <t xml:space="preserve">Worship / Kingdom</t>
  </si>
  <si>
    <t xml:space="preserve">Behold, I send My messenger, and he will prepare the way before Me; and the Lord whom you seek will suddenly come to His temple</t>
  </si>
  <si>
    <t xml:space="preserve">Malachi 3:1</t>
  </si>
  <si>
    <t xml:space="preserve">Messiah / Prophecy</t>
  </si>
  <si>
    <t xml:space="preserve">I am the LORD, I do not change; therefore you are not consumed, O sons of Jacob</t>
  </si>
  <si>
    <t xml:space="preserve">Malachi 3:6</t>
  </si>
  <si>
    <t xml:space="preserve">Jacob's sons</t>
  </si>
  <si>
    <t xml:space="preserve">Malachi 3:7</t>
  </si>
  <si>
    <t xml:space="preserve">Bring all the tithes into the storehouse, and try Me in this — if I will not open for you the windows of heaven and pour out such blessing that there will not be room enough to receive it; I will rebuke the devourer for your sakes</t>
  </si>
  <si>
    <t xml:space="preserve">Malachi 3:10-11</t>
  </si>
  <si>
    <t xml:space="preserve">A book of remembrance was written for those who fear the LORD; they shall be Mine on the day I make them My jewels, and I will spare them</t>
  </si>
  <si>
    <t xml:space="preserve">Malachi 3:16-17</t>
  </si>
  <si>
    <t xml:space="preserve">Reward / Mercy</t>
  </si>
  <si>
    <t xml:space="preserve">To you who fear My name the Sun of Righteousness shall arise with healing in His wings</t>
  </si>
  <si>
    <t xml:space="preserve">Malachi 4:2</t>
  </si>
  <si>
    <t xml:space="preserve">Messiah / Healing</t>
  </si>
  <si>
    <t xml:space="preserve">Behold, I will send you Elijah the prophet before the coming of the great and dreadful day of the LORD, and he will turn the hearts of the fathers to the children</t>
  </si>
  <si>
    <t xml:space="preserve">Malachi 4:5-6</t>
  </si>
  <si>
    <t xml:space="preserve">Prophecy / Restoration</t>
  </si>
  <si>
    <t xml:space="preserve">She will bring forth a Son, and you shall call His name JESUS, for He will save His people from their sins</t>
  </si>
  <si>
    <t xml:space="preserve">Matthew 1:21</t>
  </si>
  <si>
    <t xml:space="preserve">God (through the angel)</t>
  </si>
  <si>
    <t xml:space="preserve">Joseph / God's people</t>
  </si>
  <si>
    <t xml:space="preserve">Blessed are the poor in spirit, for theirs is the kingdom of heaven</t>
  </si>
  <si>
    <t xml:space="preserve">Matthew 5:3</t>
  </si>
  <si>
    <t xml:space="preserve">Jesus</t>
  </si>
  <si>
    <t xml:space="preserve">The poor in spirit</t>
  </si>
  <si>
    <t xml:space="preserve">Blessed are those who mourn, for they shall be comforted</t>
  </si>
  <si>
    <t xml:space="preserve">Matthew 5:4</t>
  </si>
  <si>
    <t xml:space="preserve">Those who mourn</t>
  </si>
  <si>
    <t xml:space="preserve">Blessed are the meek, for they shall inherit the earth</t>
  </si>
  <si>
    <t xml:space="preserve">Matthew 5:5</t>
  </si>
  <si>
    <t xml:space="preserve">Blessed are those who hunger and thirst for righteousness, for they shall be filled</t>
  </si>
  <si>
    <t xml:space="preserve">Matthew 5:6</t>
  </si>
  <si>
    <t xml:space="preserve">The hungry for righteousness</t>
  </si>
  <si>
    <t xml:space="preserve">Satisfaction / Righteousness</t>
  </si>
  <si>
    <t xml:space="preserve">Blessed are the merciful, for they shall obtain mercy</t>
  </si>
  <si>
    <t xml:space="preserve">Matthew 5:7</t>
  </si>
  <si>
    <t xml:space="preserve">The merciful</t>
  </si>
  <si>
    <t xml:space="preserve">Blessed are the pure in heart, for they shall see God</t>
  </si>
  <si>
    <t xml:space="preserve">Matthew 5:8</t>
  </si>
  <si>
    <t xml:space="preserve">Blessed are the peacemakers, for they shall be called sons of God</t>
  </si>
  <si>
    <t xml:space="preserve">Matthew 5:9</t>
  </si>
  <si>
    <t xml:space="preserve">Peacemakers</t>
  </si>
  <si>
    <t xml:space="preserve">Adoption</t>
  </si>
  <si>
    <t xml:space="preserve">Blessed are those persecuted for righteousness' sake — great is your reward in heaven</t>
  </si>
  <si>
    <t xml:space="preserve">Matthew 5:10-12</t>
  </si>
  <si>
    <t xml:space="preserve">The persecuted</t>
  </si>
  <si>
    <t xml:space="preserve">Reward / Kingdom</t>
  </si>
  <si>
    <t xml:space="preserve">Your Father who sees in secret will Himself reward you openly</t>
  </si>
  <si>
    <t xml:space="preserve">Matthew 6:4</t>
  </si>
  <si>
    <t xml:space="preserve">The secret giver</t>
  </si>
  <si>
    <t xml:space="preserve">Reward</t>
  </si>
  <si>
    <t xml:space="preserve">Pray to your Father in the secret place, and your Father who sees in secret will reward you openly</t>
  </si>
  <si>
    <t xml:space="preserve">Matthew 6:6</t>
  </si>
  <si>
    <t xml:space="preserve">The praying</t>
  </si>
  <si>
    <t xml:space="preserve">Prayer / Reward</t>
  </si>
  <si>
    <t xml:space="preserve">If you forgive men their trespasses, your heavenly Father will also forgive you</t>
  </si>
  <si>
    <t xml:space="preserve">Matthew 6:14</t>
  </si>
  <si>
    <t xml:space="preserve">Disciples</t>
  </si>
  <si>
    <t xml:space="preserve">If God so clothes the grass of the field, will He not much more clothe you, O you of little faith?</t>
  </si>
  <si>
    <t xml:space="preserve">Matthew 6:30</t>
  </si>
  <si>
    <t xml:space="preserve">Seek first the kingdom of God and His righteousness, and all these things shall be added to you</t>
  </si>
  <si>
    <t xml:space="preserve">Matthew 6:33</t>
  </si>
  <si>
    <t xml:space="preserve">Ask, and it will be given to you; seek, and you will find; knock, and it will be opened to you</t>
  </si>
  <si>
    <t xml:space="preserve">Matthew 7:7-8</t>
  </si>
  <si>
    <t xml:space="preserve">If you, being evil, know how to give good gifts, how much more will your Father in heaven give good things to those who ask Him</t>
  </si>
  <si>
    <t xml:space="preserve">Matthew 7:11</t>
  </si>
  <si>
    <t xml:space="preserve">Those who ask</t>
  </si>
  <si>
    <t xml:space="preserve">Provision / Prayer</t>
  </si>
  <si>
    <t xml:space="preserve">Do not worry how or what you should speak, for it will be given to you in that hour; it is the Spirit of your Father who speaks in you</t>
  </si>
  <si>
    <t xml:space="preserve">Matthew 10:19-20</t>
  </si>
  <si>
    <t xml:space="preserve">He who endures to the end will be saved</t>
  </si>
  <si>
    <t xml:space="preserve">Matthew 10:22</t>
  </si>
  <si>
    <t xml:space="preserve">Salvation / Perseverance</t>
  </si>
  <si>
    <t xml:space="preserve">Not one sparrow falls apart from your Father's will; the very hairs of your head are numbered — you are of more value than many sparrows</t>
  </si>
  <si>
    <t xml:space="preserve">Matthew 10:29-31</t>
  </si>
  <si>
    <t xml:space="preserve">Providence / Care</t>
  </si>
  <si>
    <t xml:space="preserve">Whoever confesses Me before men, him I will also confess before My Father in heaven</t>
  </si>
  <si>
    <t xml:space="preserve">Matthew 10:32</t>
  </si>
  <si>
    <t xml:space="preserve">Confessors</t>
  </si>
  <si>
    <t xml:space="preserve">Reward / Acknowledgment</t>
  </si>
  <si>
    <t xml:space="preserve">He who loses his life for My sake will find it</t>
  </si>
  <si>
    <t xml:space="preserve">Matthew 10:39</t>
  </si>
  <si>
    <t xml:space="preserve">Whoever gives one of these little ones only a cup of cold water in the name of a disciple shall by no means lose his reward</t>
  </si>
  <si>
    <t xml:space="preserve">Matthew 10:42</t>
  </si>
  <si>
    <t xml:space="preserve">Come to Me, all you who labor and are heavy laden, and I will give you rest</t>
  </si>
  <si>
    <t xml:space="preserve">Matthew 11:28</t>
  </si>
  <si>
    <t xml:space="preserve">The weary</t>
  </si>
  <si>
    <t xml:space="preserve">Rest / Peace</t>
  </si>
  <si>
    <t xml:space="preserve">Take My yoke upon you and learn from Me, and you will find rest for your souls</t>
  </si>
  <si>
    <t xml:space="preserve">Matthew 11:29</t>
  </si>
  <si>
    <t xml:space="preserve">A bruised reed He will not break, and smoking flax He will not quench, till He sends forth justice to victory</t>
  </si>
  <si>
    <t xml:space="preserve">Matthew 12:20</t>
  </si>
  <si>
    <t xml:space="preserve">God (through Isaiah, of Jesus)</t>
  </si>
  <si>
    <t xml:space="preserve">The bruised</t>
  </si>
  <si>
    <t xml:space="preserve">Mercy / Justice</t>
  </si>
  <si>
    <t xml:space="preserve">On this rock I will build My church, and the gates of Hades shall not prevail against it</t>
  </si>
  <si>
    <t xml:space="preserve">Matthew 16:18</t>
  </si>
  <si>
    <t xml:space="preserve">The Church</t>
  </si>
  <si>
    <t xml:space="preserve">Church / Victory</t>
  </si>
  <si>
    <t xml:space="preserve">The Son of Man will come in the glory of His Father with His angels, and He will reward each according to his works</t>
  </si>
  <si>
    <t xml:space="preserve">Matthew 16:27</t>
  </si>
  <si>
    <t xml:space="preserve">If you have faith as a mustard seed, nothing will be impossible for you</t>
  </si>
  <si>
    <t xml:space="preserve">Matthew 17:20</t>
  </si>
  <si>
    <t xml:space="preserve">Faith / Power</t>
  </si>
  <si>
    <t xml:space="preserve">If two of you agree on earth concerning anything they ask, it will be done for them by My Father; where two or three are gathered in My name, I am there in the midst of them</t>
  </si>
  <si>
    <t xml:space="preserve">Matthew 18:19-20</t>
  </si>
  <si>
    <t xml:space="preserve">In the regeneration you who have followed Me will sit on twelve thrones; everyone who has left houses or family for My name's sake shall receive a hundredfold and inherit eternal life</t>
  </si>
  <si>
    <t xml:space="preserve">Matthew 19:28-29</t>
  </si>
  <si>
    <t xml:space="preserve">Disciples / All who sacrifice</t>
  </si>
  <si>
    <t xml:space="preserve">Reward / Eternal Life</t>
  </si>
  <si>
    <t xml:space="preserve">Whatever things you ask in prayer, believing, you will receive</t>
  </si>
  <si>
    <t xml:space="preserve">Matthew 21:22</t>
  </si>
  <si>
    <t xml:space="preserve">He who endures to the end shall be saved</t>
  </si>
  <si>
    <t xml:space="preserve">Matthew 24:13</t>
  </si>
  <si>
    <t xml:space="preserve">This gospel of the kingdom will be preached in all the world as a witness to all the nations, and then the end will come</t>
  </si>
  <si>
    <t xml:space="preserve">Matthew 24:14</t>
  </si>
  <si>
    <t xml:space="preserve">Kingdom / Prophecy</t>
  </si>
  <si>
    <t xml:space="preserve">They will see the Son of Man coming on the clouds of heaven with power and great glory</t>
  </si>
  <si>
    <t xml:space="preserve">Matthew 24:30</t>
  </si>
  <si>
    <t xml:space="preserve">All tribes of the earth</t>
  </si>
  <si>
    <t xml:space="preserve">Second Coming</t>
  </si>
  <si>
    <t xml:space="preserve">Heaven and earth will pass away, but My words will by no means pass away</t>
  </si>
  <si>
    <t xml:space="preserve">Matthew 24:35</t>
  </si>
  <si>
    <t xml:space="preserve">Come, you blessed of My Father, inherit the kingdom prepared for you from the foundation of the world</t>
  </si>
  <si>
    <t xml:space="preserve">Matthew 25:34</t>
  </si>
  <si>
    <t xml:space="preserve">This is My blood of the new covenant, which is shed for many for the remission of sins</t>
  </si>
  <si>
    <t xml:space="preserve">Matthew 26:28</t>
  </si>
  <si>
    <t xml:space="preserve">The many</t>
  </si>
  <si>
    <t xml:space="preserve">New Covenant / Forgiveness</t>
  </si>
  <si>
    <t xml:space="preserve">Hereafter you will see the Son of Man sitting at the right hand of the Power, and coming on the clouds of heaven</t>
  </si>
  <si>
    <t xml:space="preserve">Matthew 26:64</t>
  </si>
  <si>
    <t xml:space="preserve">The Sanhedrin / All</t>
  </si>
  <si>
    <t xml:space="preserve">Lo, I am with you always, even to the end of the age</t>
  </si>
  <si>
    <t xml:space="preserve">Matthew 28:20</t>
  </si>
  <si>
    <t xml:space="preserve">Disciples / The Church</t>
  </si>
  <si>
    <t xml:space="preserve">Follow Me, and I will make you become fishers of men</t>
  </si>
  <si>
    <t xml:space="preserve">Mark 1:17</t>
  </si>
  <si>
    <t xml:space="preserve">Simon and Andrew</t>
  </si>
  <si>
    <t xml:space="preserve">Commission / Transformation</t>
  </si>
  <si>
    <t xml:space="preserve">If you can believe, all things are possible to him who believes</t>
  </si>
  <si>
    <t xml:space="preserve">Mark 9:23</t>
  </si>
  <si>
    <t xml:space="preserve">The believing</t>
  </si>
  <si>
    <t xml:space="preserve">With men it is impossible, but not with God; for with God all things are possible</t>
  </si>
  <si>
    <t xml:space="preserve">Mark 10:27</t>
  </si>
  <si>
    <t xml:space="preserve">Power / Salvation</t>
  </si>
  <si>
    <t xml:space="preserve">No one who has left house or family for My sake and the gospel's shall fail to receive a hundredfold now, with persecutions, and in the age to come eternal life</t>
  </si>
  <si>
    <t xml:space="preserve">Mark 10:29-30</t>
  </si>
  <si>
    <t xml:space="preserve">All who sacrifice</t>
  </si>
  <si>
    <t xml:space="preserve">Whatever things you ask when you pray, believe that you receive them, and you will have them</t>
  </si>
  <si>
    <t xml:space="preserve">Mark 11:24</t>
  </si>
  <si>
    <t xml:space="preserve">Whenever you stand praying, forgive, that your Father in heaven may also forgive you your trespasses</t>
  </si>
  <si>
    <t xml:space="preserve">Mark 11:25</t>
  </si>
  <si>
    <t xml:space="preserve">Whatever is given you in that hour, speak that; for it is not you who speak, but the Holy Spirit</t>
  </si>
  <si>
    <t xml:space="preserve">Mark 13:11</t>
  </si>
  <si>
    <t xml:space="preserve">They will see the Son of Man coming in the clouds with great power and glory; He will send His angels and gather His elect from the four winds</t>
  </si>
  <si>
    <t xml:space="preserve">Mark 13:26-27</t>
  </si>
  <si>
    <t xml:space="preserve">The elect</t>
  </si>
  <si>
    <t xml:space="preserve">Second Coming / Gathering</t>
  </si>
  <si>
    <t xml:space="preserve">He who believes and is baptized will be saved</t>
  </si>
  <si>
    <t xml:space="preserve">Mark 16:16</t>
  </si>
  <si>
    <t xml:space="preserve">He will be great and will be called the Son of the Highest; the Lord God will give Him the throne of His father David, and He will reign over the house of Jacob forever</t>
  </si>
  <si>
    <t xml:space="preserve">Luke 1:32-33</t>
  </si>
  <si>
    <t xml:space="preserve">Mary / Israel</t>
  </si>
  <si>
    <t xml:space="preserve">With God nothing will be impossible</t>
  </si>
  <si>
    <t xml:space="preserve">Luke 1:37</t>
  </si>
  <si>
    <t xml:space="preserve">Mary</t>
  </si>
  <si>
    <t xml:space="preserve">Power</t>
  </si>
  <si>
    <t xml:space="preserve">Good tidings of great joy to all people: there is born to you this day in the city of David a Savior, who is Christ the Lord</t>
  </si>
  <si>
    <t xml:space="preserve">Luke 2:10-11</t>
  </si>
  <si>
    <t xml:space="preserve">Messiah / Salvation / Joy</t>
  </si>
  <si>
    <t xml:space="preserve">Blessed are you who hunger now, for you shall be filled; blessed are you who weep now, for you shall laugh</t>
  </si>
  <si>
    <t xml:space="preserve">Luke 6:21</t>
  </si>
  <si>
    <t xml:space="preserve">The hungry and weeping</t>
  </si>
  <si>
    <t xml:space="preserve">Comfort / Satisfaction</t>
  </si>
  <si>
    <t xml:space="preserve">Love your enemies, do good, and lend, hoping for nothing in return; and your reward will be great, and you will be sons of the Most High</t>
  </si>
  <si>
    <t xml:space="preserve">Luke 6:35</t>
  </si>
  <si>
    <t xml:space="preserve">Reward / Adoption</t>
  </si>
  <si>
    <t xml:space="preserve">Give, and it will be given to you: good measure, pressed down, shaken together, and running over</t>
  </si>
  <si>
    <t xml:space="preserve">Luke 6:38</t>
  </si>
  <si>
    <t xml:space="preserve">Behold, I give you the authority to trample on serpents and scorpions, and over all the power of the enemy, and nothing shall by any means hurt you</t>
  </si>
  <si>
    <t xml:space="preserve">Luke 10:19</t>
  </si>
  <si>
    <t xml:space="preserve">The seventy / Disciples</t>
  </si>
  <si>
    <t xml:space="preserve">Authority / Protection</t>
  </si>
  <si>
    <t xml:space="preserve">If you know how to give good gifts to your children, how much more will your heavenly Father give the Holy Spirit to those who ask Him</t>
  </si>
  <si>
    <t xml:space="preserve">Luke 11:13</t>
  </si>
  <si>
    <t xml:space="preserve">Everyone who confesses Me before men, the Son of Man also will confess before the angels of God</t>
  </si>
  <si>
    <t xml:space="preserve">Luke 12:8</t>
  </si>
  <si>
    <t xml:space="preserve">Acknowledgment</t>
  </si>
  <si>
    <t xml:space="preserve">Seek the kingdom of God, and all these things shall be added to you; do not fear, little flock, for it is your Father's good pleasure to give you the kingdom</t>
  </si>
  <si>
    <t xml:space="preserve">Luke 12:31-32</t>
  </si>
  <si>
    <t xml:space="preserve">No one who has left house or family for the sake of the kingdom of God shall fail to receive many times more in this present time, and in the age to come eternal life</t>
  </si>
  <si>
    <t xml:space="preserve">Luke 18:29-30</t>
  </si>
  <si>
    <t xml:space="preserve">I will give you a mouth and wisdom which all your adversaries will not be able to contradict or resist</t>
  </si>
  <si>
    <t xml:space="preserve">Luke 21:15</t>
  </si>
  <si>
    <t xml:space="preserve">Not a hair of your head shall be lost; by your patience possess your souls</t>
  </si>
  <si>
    <t xml:space="preserve">Luke 21:18</t>
  </si>
  <si>
    <t xml:space="preserve">They will see the Son of Man coming in a cloud with power and great glory; when these things begin, lift up your heads, because your redemption draws near</t>
  </si>
  <si>
    <t xml:space="preserve">Luke 21:27-28</t>
  </si>
  <si>
    <t xml:space="preserve">Second Coming / Redemption</t>
  </si>
  <si>
    <t xml:space="preserve">I bestow upon you a kingdom, just as My Father bestowed one upon Me, that you may eat and drink at My table and sit on thrones</t>
  </si>
  <si>
    <t xml:space="preserve">Luke 22:29-30</t>
  </si>
  <si>
    <t xml:space="preserve">The apostles</t>
  </si>
  <si>
    <t xml:space="preserve">Kingdom / Reward</t>
  </si>
  <si>
    <t xml:space="preserve">Assuredly, I say to you, today you will be with Me in Paradise</t>
  </si>
  <si>
    <t xml:space="preserve">Luke 23:43</t>
  </si>
  <si>
    <t xml:space="preserve">The repentant thief</t>
  </si>
  <si>
    <t xml:space="preserve">Eternal Life / Presence</t>
  </si>
  <si>
    <t xml:space="preserve">Behold, I send the Promise of My Father upon you; tarry in Jerusalem until you are endued with power from on high</t>
  </si>
  <si>
    <t xml:space="preserve">Luke 24:49</t>
  </si>
  <si>
    <t xml:space="preserve">Holy Spirit / Power</t>
  </si>
  <si>
    <t xml:space="preserve">As many as received Him, to them He gave the right to become children of God, to those who believe in His name</t>
  </si>
  <si>
    <t xml:space="preserve">John 1:12</t>
  </si>
  <si>
    <t xml:space="preserve">God (through John)</t>
  </si>
  <si>
    <t xml:space="preserve">All who receive Him</t>
  </si>
  <si>
    <t xml:space="preserve">Whoever believes in Him should not perish but have eternal life</t>
  </si>
  <si>
    <t xml:space="preserve">John 3:15</t>
  </si>
  <si>
    <t xml:space="preserve">Eternal Life</t>
  </si>
  <si>
    <t xml:space="preserve">God so loved the world that He gave His only begotten Son, that whoever believes in Him should not perish but have everlasting life</t>
  </si>
  <si>
    <t xml:space="preserve">John 3:16</t>
  </si>
  <si>
    <t xml:space="preserve">The world / All who believe</t>
  </si>
  <si>
    <t xml:space="preserve">Salvation / Eternal Life</t>
  </si>
  <si>
    <t xml:space="preserve">He who believes in the Son has everlasting life</t>
  </si>
  <si>
    <t xml:space="preserve">John 3:36</t>
  </si>
  <si>
    <t xml:space="preserve">Jesus (through John the Baptist)</t>
  </si>
  <si>
    <t xml:space="preserve">Whoever drinks of the water I give will never thirst; it will become in him a fountain of water springing up into everlasting life</t>
  </si>
  <si>
    <t xml:space="preserve">John 4:14</t>
  </si>
  <si>
    <t xml:space="preserve">The Samaritan woman / All</t>
  </si>
  <si>
    <t xml:space="preserve">Eternal Life / Satisfaction</t>
  </si>
  <si>
    <t xml:space="preserve">He who hears My word and believes in Him who sent Me has everlasting life and shall not come into judgment, but has passed from death into life</t>
  </si>
  <si>
    <t xml:space="preserve">John 5:24</t>
  </si>
  <si>
    <t xml:space="preserve">Eternal Life / Justification</t>
  </si>
  <si>
    <t xml:space="preserve">The hour is coming when all who are in the graves will hear His voice and come forth — to the resurrection of life or of condemnation</t>
  </si>
  <si>
    <t xml:space="preserve">John 5:28-29</t>
  </si>
  <si>
    <t xml:space="preserve">All the dead</t>
  </si>
  <si>
    <t xml:space="preserve">I am the bread of life; he who comes to Me shall never hunger, and he who believes in Me shall never thirst</t>
  </si>
  <si>
    <t xml:space="preserve">John 6:35</t>
  </si>
  <si>
    <t xml:space="preserve">Satisfaction / Life</t>
  </si>
  <si>
    <t xml:space="preserve">All that the Father gives Me will come to Me, and the one who comes to Me I will by no means cast out</t>
  </si>
  <si>
    <t xml:space="preserve">John 6:37</t>
  </si>
  <si>
    <t xml:space="preserve">Acceptance / Security</t>
  </si>
  <si>
    <t xml:space="preserve">This is the Father's will: that of all He has given Me I should lose nothing, but raise it up at the last day; everyone who believes in the Son has everlasting life</t>
  </si>
  <si>
    <t xml:space="preserve">John 6:39-40</t>
  </si>
  <si>
    <t xml:space="preserve">Security / Resurrection</t>
  </si>
  <si>
    <t xml:space="preserve">If anyone eats of this bread, he will live forever; and the bread I give is My flesh, which I give for the life of the world</t>
  </si>
  <si>
    <t xml:space="preserve">John 6:51</t>
  </si>
  <si>
    <t xml:space="preserve">All who partake</t>
  </si>
  <si>
    <t xml:space="preserve">Eternal Life / Atonement</t>
  </si>
  <si>
    <t xml:space="preserve">Whoever eats My flesh and drinks My blood has eternal life, and I will raise him up at the last day</t>
  </si>
  <si>
    <t xml:space="preserve">John 6:54</t>
  </si>
  <si>
    <t xml:space="preserve">Eternal Life / Resurrection</t>
  </si>
  <si>
    <t xml:space="preserve">He who believes in Me, out of his heart will flow rivers of living water — this He spoke concerning the Spirit</t>
  </si>
  <si>
    <t xml:space="preserve">John 7:38-39</t>
  </si>
  <si>
    <t xml:space="preserve">I am the light of the world; he who follows Me shall not walk in darkness, but have the light of life</t>
  </si>
  <si>
    <t xml:space="preserve">John 8:12</t>
  </si>
  <si>
    <t xml:space="preserve">All who follow</t>
  </si>
  <si>
    <t xml:space="preserve">Light / Life</t>
  </si>
  <si>
    <t xml:space="preserve">If you abide in My word, you are My disciples indeed; and you shall know the truth, and the truth shall make you free</t>
  </si>
  <si>
    <t xml:space="preserve">John 8:31-32</t>
  </si>
  <si>
    <t xml:space="preserve">Freedom / Truth</t>
  </si>
  <si>
    <t xml:space="preserve">If the Son makes you free, you shall be free indeed</t>
  </si>
  <si>
    <t xml:space="preserve">John 8:36</t>
  </si>
  <si>
    <t xml:space="preserve">All whom He frees</t>
  </si>
  <si>
    <t xml:space="preserve">Freedom</t>
  </si>
  <si>
    <t xml:space="preserve">If anyone keeps My word, he shall never see death</t>
  </si>
  <si>
    <t xml:space="preserve">John 8:51</t>
  </si>
  <si>
    <t xml:space="preserve">All who keep His word</t>
  </si>
  <si>
    <t xml:space="preserve">I am the door; if anyone enters by Me, he will be saved, and will go in and out and find pasture</t>
  </si>
  <si>
    <t xml:space="preserve">John 10:9</t>
  </si>
  <si>
    <t xml:space="preserve">I have come that they may have life, and that they may have it more abundantly</t>
  </si>
  <si>
    <t xml:space="preserve">John 10:10</t>
  </si>
  <si>
    <t xml:space="preserve">Life / Abundance</t>
  </si>
  <si>
    <t xml:space="preserve">I give them eternal life, and they shall never perish; neither shall anyone snatch them out of My hand</t>
  </si>
  <si>
    <t xml:space="preserve">John 10:28</t>
  </si>
  <si>
    <t xml:space="preserve">Eternal Life / Security</t>
  </si>
  <si>
    <t xml:space="preserve">My Father, who has given them to Me, is greater than all; and no one is able to snatch them out of My Father's hand</t>
  </si>
  <si>
    <t xml:space="preserve">John 10:29</t>
  </si>
  <si>
    <t xml:space="preserve">Security</t>
  </si>
  <si>
    <t xml:space="preserve">I am the resurrection and the life; he who believes in Me, though he may die, he shall live; and whoever lives and believes in Me shall never die</t>
  </si>
  <si>
    <t xml:space="preserve">John 11:25-26</t>
  </si>
  <si>
    <t xml:space="preserve">Resurrection / Eternal Life</t>
  </si>
  <si>
    <t xml:space="preserve">If anyone serves Me, let him follow Me; and where I am, there My servant will be also; him My Father will honor</t>
  </si>
  <si>
    <t xml:space="preserve">John 12:26</t>
  </si>
  <si>
    <t xml:space="preserve">Presence / Honor</t>
  </si>
  <si>
    <t xml:space="preserve">And I, if I am lifted up from the earth, will draw all peoples to Myself</t>
  </si>
  <si>
    <t xml:space="preserve">John 12:32</t>
  </si>
  <si>
    <t xml:space="preserve">Redemption / The Cross</t>
  </si>
  <si>
    <t xml:space="preserve">Where I am going you cannot follow Me now, but you shall follow Me afterward</t>
  </si>
  <si>
    <t xml:space="preserve">John 13:36</t>
  </si>
  <si>
    <t xml:space="preserve">Peter</t>
  </si>
  <si>
    <t xml:space="preserve">Hope / Presence</t>
  </si>
  <si>
    <t xml:space="preserve">In My Father's house are many mansions; I go to prepare a place for you; I will come again and receive you to Myself, that where I am, there you may be also</t>
  </si>
  <si>
    <t xml:space="preserve">John 14:2-3</t>
  </si>
  <si>
    <t xml:space="preserve">Disciples / Believers</t>
  </si>
  <si>
    <t xml:space="preserve">Heaven / Second Coming</t>
  </si>
  <si>
    <t xml:space="preserve">He who believes in Me, the works that I do he will do also; and greater works than these he will do, because I go to My Father</t>
  </si>
  <si>
    <t xml:space="preserve">John 14:12</t>
  </si>
  <si>
    <t xml:space="preserve">Power / Commission</t>
  </si>
  <si>
    <t xml:space="preserve">Whatever you ask in My name, that I will do, that the Father may be glorified in the Son; if you ask anything in My name, I will do it</t>
  </si>
  <si>
    <t xml:space="preserve">John 14:13-14</t>
  </si>
  <si>
    <t xml:space="preserve">I will pray the Father, and He will give you another Helper, that He may abide with you forever — the Spirit of truth</t>
  </si>
  <si>
    <t xml:space="preserve">John 14:16-17</t>
  </si>
  <si>
    <t xml:space="preserve">I will not leave you orphans; I will come to you</t>
  </si>
  <si>
    <t xml:space="preserve">John 14:18</t>
  </si>
  <si>
    <t xml:space="preserve">He who loves Me will be loved by My Father, and I will love him and manifest Myself to him</t>
  </si>
  <si>
    <t xml:space="preserve">John 14:21</t>
  </si>
  <si>
    <t xml:space="preserve">Love / Presence</t>
  </si>
  <si>
    <t xml:space="preserve">If anyone loves Me, he will keep My word; and My Father will love him, and We will come to him and make Our home with him</t>
  </si>
  <si>
    <t xml:space="preserve">John 14:23</t>
  </si>
  <si>
    <t xml:space="preserve">Presence / Love</t>
  </si>
  <si>
    <t xml:space="preserve">The Helper, the Holy Spirit, whom the Father will send in My name, He will teach you all things and bring to your remembrance all that I said to you</t>
  </si>
  <si>
    <t xml:space="preserve">John 14:26</t>
  </si>
  <si>
    <t xml:space="preserve">Peace I leave with you, My peace I give to you; not as the world gives do I give to you; let not your heart be troubled</t>
  </si>
  <si>
    <t xml:space="preserve">John 14:27</t>
  </si>
  <si>
    <t xml:space="preserve">He who abides in Me, and I in him, bears much fruit; for without Me you can do nothing</t>
  </si>
  <si>
    <t xml:space="preserve">John 15:5</t>
  </si>
  <si>
    <t xml:space="preserve">If you abide in Me and My words abide in you, you will ask what you desire, and it shall be done for you</t>
  </si>
  <si>
    <t xml:space="preserve">John 15:7</t>
  </si>
  <si>
    <t xml:space="preserve">Abiding believers</t>
  </si>
  <si>
    <t xml:space="preserve">If you keep My commandments, you will abide in My love; these things I have spoken that My joy may remain in you, and that your joy may be full</t>
  </si>
  <si>
    <t xml:space="preserve">John 15:10-11</t>
  </si>
  <si>
    <t xml:space="preserve">Love / Joy</t>
  </si>
  <si>
    <t xml:space="preserve">When the Helper comes, whom I shall send from the Father, the Spirit of truth, He will testify of Me</t>
  </si>
  <si>
    <t xml:space="preserve">John 15:26</t>
  </si>
  <si>
    <t xml:space="preserve">When the Spirit of truth has come, He will guide you into all truth and tell you things to come</t>
  </si>
  <si>
    <t xml:space="preserve">John 16:13</t>
  </si>
  <si>
    <t xml:space="preserve">Holy Spirit / Guidance</t>
  </si>
  <si>
    <t xml:space="preserve">I will see you again and your heart will rejoice, and your joy no one will take from you</t>
  </si>
  <si>
    <t xml:space="preserve">John 16:22</t>
  </si>
  <si>
    <t xml:space="preserve">Joy / Resurrection</t>
  </si>
  <si>
    <t xml:space="preserve">Whatever you ask the Father in My name He will give you; ask, and you will receive, that your joy may be full</t>
  </si>
  <si>
    <t xml:space="preserve">John 16:23-24</t>
  </si>
  <si>
    <t xml:space="preserve">Prayer / Joy</t>
  </si>
  <si>
    <t xml:space="preserve">In the world you will have tribulation; but be of good cheer, I have overcome the world</t>
  </si>
  <si>
    <t xml:space="preserve">John 16:33</t>
  </si>
  <si>
    <t xml:space="preserve">Peace / Victory</t>
  </si>
  <si>
    <t xml:space="preserve">Father, I desire that they whom You gave Me may be with Me where I am, that they may behold My glory</t>
  </si>
  <si>
    <t xml:space="preserve">John 17:24</t>
  </si>
  <si>
    <t xml:space="preserve">Jesus (praying the Father's promise)</t>
  </si>
  <si>
    <t xml:space="preserve">Blessed are those who have not seen and yet have believed</t>
  </si>
  <si>
    <t xml:space="preserve">John 20:29</t>
  </si>
  <si>
    <t xml:space="preserve">Future believers</t>
  </si>
  <si>
    <t xml:space="preserve">John truly baptized with water, but you shall be baptized with the Holy Spirit not many days from now</t>
  </si>
  <si>
    <t xml:space="preserve">Acts 1:5</t>
  </si>
  <si>
    <t xml:space="preserve">You shall receive power when the Holy Spirit has come upon you, and you shall be witnesses to Me to the end of the earth</t>
  </si>
  <si>
    <t xml:space="preserve">Acts 1:8</t>
  </si>
  <si>
    <t xml:space="preserve">The apostles / The Church</t>
  </si>
  <si>
    <t xml:space="preserve">This same Jesus, who was taken up from you into heaven, will so come in like manner as you saw Him go into heaven</t>
  </si>
  <si>
    <t xml:space="preserve">Acts 1:11</t>
  </si>
  <si>
    <t xml:space="preserve">God (through the angels)</t>
  </si>
  <si>
    <t xml:space="preserve">Acts 2:21</t>
  </si>
  <si>
    <t xml:space="preserve">God (through Joel, cited by Peter)</t>
  </si>
  <si>
    <t xml:space="preserve">Repent and be baptized in the name of Jesus Christ for the remission of sins, and you shall receive the gift of the Holy Spirit — for the promise is to you, your children, and all who are afar off</t>
  </si>
  <si>
    <t xml:space="preserve">Acts 2:38-39</t>
  </si>
  <si>
    <t xml:space="preserve">God (through Peter)</t>
  </si>
  <si>
    <t xml:space="preserve">All whom God calls</t>
  </si>
  <si>
    <t xml:space="preserve">Forgiveness / Holy Spirit</t>
  </si>
  <si>
    <t xml:space="preserve">Repent, that your sins may be blotted out, so that times of refreshing may come from the presence of the Lord, and that He may send Jesus Christ</t>
  </si>
  <si>
    <t xml:space="preserve">Acts 3:19-21</t>
  </si>
  <si>
    <t xml:space="preserve">Forgiveness / Second Coming</t>
  </si>
  <si>
    <t xml:space="preserve">Believe on the Lord Jesus Christ, and you will be saved, you and your household</t>
  </si>
  <si>
    <t xml:space="preserve">Acts 16:31</t>
  </si>
  <si>
    <t xml:space="preserve">God (through Paul and Silas)</t>
  </si>
  <si>
    <t xml:space="preserve">The Philippian jailer / All</t>
  </si>
  <si>
    <t xml:space="preserve">Do not be afraid, but speak; for I am with you, and no one will attack you to hurt you, for I have many people in this city</t>
  </si>
  <si>
    <t xml:space="preserve">Acts 18:9-10</t>
  </si>
  <si>
    <t xml:space="preserve">Paul</t>
  </si>
  <si>
    <t xml:space="preserve">Be of good cheer, Paul; as you have testified for Me in Jerusalem, so you must also bear witness at Rome</t>
  </si>
  <si>
    <t xml:space="preserve">Acts 23:11</t>
  </si>
  <si>
    <t xml:space="preserve">Commission / Protection</t>
  </si>
  <si>
    <t xml:space="preserve">Do not be afraid, Paul; you must be brought before Caesar, and God has granted you all those who sail with you</t>
  </si>
  <si>
    <t xml:space="preserve">Acts 27:24</t>
  </si>
  <si>
    <t xml:space="preserve">The gospel is the power of God to salvation for everyone who believes, for the Jew first and also for the Greek</t>
  </si>
  <si>
    <t xml:space="preserve">Romans 1:16</t>
  </si>
  <si>
    <t xml:space="preserve">God (through Paul)</t>
  </si>
  <si>
    <t xml:space="preserve">To him who does not work but believes on Him who justifies the ungodly, his faith is accounted for righteousness</t>
  </si>
  <si>
    <t xml:space="preserve">Romans 4:5</t>
  </si>
  <si>
    <t xml:space="preserve">Justification</t>
  </si>
  <si>
    <t xml:space="preserve">Having been justified by faith, we have peace with God through our Lord Jesus Christ</t>
  </si>
  <si>
    <t xml:space="preserve">Romans 5:1</t>
  </si>
  <si>
    <t xml:space="preserve">The justified</t>
  </si>
  <si>
    <t xml:space="preserve">Peace / Justification</t>
  </si>
  <si>
    <t xml:space="preserve">Having now been justified by His blood, we shall be saved from wrath through Him</t>
  </si>
  <si>
    <t xml:space="preserve">Romans 5:9</t>
  </si>
  <si>
    <t xml:space="preserve">Salvation / The Cross</t>
  </si>
  <si>
    <t xml:space="preserve">Sin shall not have dominion over you, for you are not under law but under grace</t>
  </si>
  <si>
    <t xml:space="preserve">Romans 6:14</t>
  </si>
  <si>
    <t xml:space="preserve">Victory / Grace</t>
  </si>
  <si>
    <t xml:space="preserve">The gift of God is eternal life in Christ Jesus our Lord</t>
  </si>
  <si>
    <t xml:space="preserve">Romans 6:23</t>
  </si>
  <si>
    <t xml:space="preserve">There is therefore now no condemnation to those who are in Christ Jesus</t>
  </si>
  <si>
    <t xml:space="preserve">Romans 8:1</t>
  </si>
  <si>
    <t xml:space="preserve">Those in Christ</t>
  </si>
  <si>
    <t xml:space="preserve">Justification / Security</t>
  </si>
  <si>
    <t xml:space="preserve">He who raised Christ from the dead will also give life to your mortal bodies through His Spirit who dwells in you</t>
  </si>
  <si>
    <t xml:space="preserve">Romans 8:11</t>
  </si>
  <si>
    <t xml:space="preserve">Resurrection / Holy Spirit</t>
  </si>
  <si>
    <t xml:space="preserve">The Spirit Himself bears witness that we are children of God — and if children, then heirs of God and joint heirs with Christ</t>
  </si>
  <si>
    <t xml:space="preserve">Romans 8:16-17</t>
  </si>
  <si>
    <t xml:space="preserve">Adoption / Inheritance</t>
  </si>
  <si>
    <t xml:space="preserve">The sufferings of this present time are not worthy to be compared with the glory which shall be revealed in us</t>
  </si>
  <si>
    <t xml:space="preserve">Romans 8:18</t>
  </si>
  <si>
    <t xml:space="preserve">The Spirit helps in our weaknesses and makes intercession for us with groanings which cannot be uttered</t>
  </si>
  <si>
    <t xml:space="preserve">Romans 8:26</t>
  </si>
  <si>
    <t xml:space="preserve">Holy Spirit / Prayer</t>
  </si>
  <si>
    <t xml:space="preserve">All things work together for good to those who love God, to those who are the called according to His purpose</t>
  </si>
  <si>
    <t xml:space="preserve">Romans 8:28</t>
  </si>
  <si>
    <t xml:space="preserve">Those who love God</t>
  </si>
  <si>
    <t xml:space="preserve">Whom He predestined He also called; whom He called He also justified; and whom He justified He also glorified</t>
  </si>
  <si>
    <t xml:space="preserve">Romans 8:30</t>
  </si>
  <si>
    <t xml:space="preserve">The called</t>
  </si>
  <si>
    <t xml:space="preserve">Salvation / Glorification</t>
  </si>
  <si>
    <t xml:space="preserve">He who did not spare His own Son but delivered Him up for us all, how shall He not with Him also freely give us all things?</t>
  </si>
  <si>
    <t xml:space="preserve">Romans 8:32</t>
  </si>
  <si>
    <t xml:space="preserve">Provision / The Cross</t>
  </si>
  <si>
    <t xml:space="preserve">In all these things we are more than conquerors; nothing shall be able to separate us from the love of God which is in Christ Jesus our Lord</t>
  </si>
  <si>
    <t xml:space="preserve">Romans 8:37-39</t>
  </si>
  <si>
    <t xml:space="preserve">Security / Love / Victory</t>
  </si>
  <si>
    <t xml:space="preserve">If you confess with your mouth the Lord Jesus and believe in your heart that God has raised Him from the dead, you will be saved</t>
  </si>
  <si>
    <t xml:space="preserve">Romans 10:9</t>
  </si>
  <si>
    <t xml:space="preserve">All who confess and believe</t>
  </si>
  <si>
    <t xml:space="preserve">Salvation / Resurrection</t>
  </si>
  <si>
    <t xml:space="preserve">Whoever believes on Him will not be put to shame</t>
  </si>
  <si>
    <t xml:space="preserve">Romans 10:11</t>
  </si>
  <si>
    <t xml:space="preserve">God (through Paul, citing Isaiah)</t>
  </si>
  <si>
    <t xml:space="preserve">Honor / Security</t>
  </si>
  <si>
    <t xml:space="preserve">Romans 10:13</t>
  </si>
  <si>
    <t xml:space="preserve">God (through Paul, citing Joel)</t>
  </si>
  <si>
    <t xml:space="preserve">All Israel will be saved: the Deliverer will come out of Zion and turn away ungodliness from Jacob, for this is My covenant when I take away their sins</t>
  </si>
  <si>
    <t xml:space="preserve">Romans 11:26-27</t>
  </si>
  <si>
    <t xml:space="preserve">Salvation / Covenant</t>
  </si>
  <si>
    <t xml:space="preserve">The gifts and the calling of God are irrevocable</t>
  </si>
  <si>
    <t xml:space="preserve">Romans 11:29</t>
  </si>
  <si>
    <t xml:space="preserve">Israel / The called</t>
  </si>
  <si>
    <t xml:space="preserve">The God of peace will crush Satan under your feet shortly</t>
  </si>
  <si>
    <t xml:space="preserve">Romans 16:20</t>
  </si>
  <si>
    <t xml:space="preserve">He will confirm you to the end, blameless in the day of our Lord Jesus Christ; God is faithful, by whom you were called</t>
  </si>
  <si>
    <t xml:space="preserve">1 Corinthians 1:8-9</t>
  </si>
  <si>
    <t xml:space="preserve">Perseverance / Faithfulness</t>
  </si>
  <si>
    <t xml:space="preserve">Eye has not seen, nor ear heard, the things which God has prepared for those who love Him</t>
  </si>
  <si>
    <t xml:space="preserve">1 Corinthians 2:9</t>
  </si>
  <si>
    <t xml:space="preserve">Each one will receive his own reward according to his own labor</t>
  </si>
  <si>
    <t xml:space="preserve">1 Corinthians 3:8</t>
  </si>
  <si>
    <t xml:space="preserve">God's workers</t>
  </si>
  <si>
    <t xml:space="preserve">No temptation has overtaken you except such as is common to man; God is faithful, who will not allow you to be tempted beyond what you are able, but will also make the way of escape</t>
  </si>
  <si>
    <t xml:space="preserve">1 Corinthians 10:13</t>
  </si>
  <si>
    <t xml:space="preserve">As in Adam all die, even so in Christ all shall be made alive</t>
  </si>
  <si>
    <t xml:space="preserve">1 Corinthians 15:22</t>
  </si>
  <si>
    <t xml:space="preserve">We shall all be changed — in a moment, in the twinkling of an eye, at the last trumpet; the dead will be raised incorruptible</t>
  </si>
  <si>
    <t xml:space="preserve">1 Corinthians 15:51-52</t>
  </si>
  <si>
    <t xml:space="preserve">Thanks be to God, who gives us the victory through our Lord Jesus Christ</t>
  </si>
  <si>
    <t xml:space="preserve">1 Corinthians 15:57</t>
  </si>
  <si>
    <t xml:space="preserve">All the promises of God in Him are Yes, and in Him Amen, to the glory of God through us</t>
  </si>
  <si>
    <t xml:space="preserve">2 Corinthians 1:20</t>
  </si>
  <si>
    <t xml:space="preserve">God has anointed us, sealed us, and given us the Spirit in our hearts as a guarantee</t>
  </si>
  <si>
    <t xml:space="preserve">2 Corinthians 1:21-22</t>
  </si>
  <si>
    <t xml:space="preserve">Holy Spirit / Security</t>
  </si>
  <si>
    <t xml:space="preserve">He who raised up the Lord Jesus will also raise us up with Jesus, and will present us with you</t>
  </si>
  <si>
    <t xml:space="preserve">2 Corinthians 4:14</t>
  </si>
  <si>
    <t xml:space="preserve">Our light affliction, which is but for a moment, is working for us a far more exceeding and eternal weight of glory</t>
  </si>
  <si>
    <t xml:space="preserve">2 Corinthians 4:17</t>
  </si>
  <si>
    <t xml:space="preserve">If our earthly house is destroyed, we have a building from God, a house not made with hands, eternal in the heavens</t>
  </si>
  <si>
    <t xml:space="preserve">2 Corinthians 5:1</t>
  </si>
  <si>
    <t xml:space="preserve">Heaven / Resurrection</t>
  </si>
  <si>
    <t xml:space="preserve">If anyone is in Christ, he is a new creation; old things have passed away; behold, all things have become new</t>
  </si>
  <si>
    <t xml:space="preserve">2 Corinthians 5:17</t>
  </si>
  <si>
    <t xml:space="preserve">He made Him who knew no sin to be sin for us, that we might become the righteousness of God in Him</t>
  </si>
  <si>
    <t xml:space="preserve">2 Corinthians 5:21</t>
  </si>
  <si>
    <t xml:space="preserve">Justification / The Cross</t>
  </si>
  <si>
    <t xml:space="preserve">I will dwell in them and walk among them; I will be their God, and they shall be My people; I will be a Father to you, and you shall be My sons and daughters</t>
  </si>
  <si>
    <t xml:space="preserve">2 Corinthians 6:16-18</t>
  </si>
  <si>
    <t xml:space="preserve">God (cited by Paul)</t>
  </si>
  <si>
    <t xml:space="preserve">Presence / Adoption</t>
  </si>
  <si>
    <t xml:space="preserve">God is able to make all grace abound toward you, that you, always having all sufficiency in all things, may have an abundance for every good work</t>
  </si>
  <si>
    <t xml:space="preserve">2 Corinthians 9:8</t>
  </si>
  <si>
    <t xml:space="preserve">My grace is sufficient for you, for My strength is made perfect in weakness</t>
  </si>
  <si>
    <t xml:space="preserve">2 Corinthians 12:9</t>
  </si>
  <si>
    <t xml:space="preserve">Paul / Believers</t>
  </si>
  <si>
    <t xml:space="preserve">Grace / Strength</t>
  </si>
  <si>
    <t xml:space="preserve">The Scripture, foreseeing that God would justify the Gentiles by faith, preached the gospel to Abraham beforehand: In you all the nations shall be blessed</t>
  </si>
  <si>
    <t xml:space="preserve">Galatians 3:8</t>
  </si>
  <si>
    <t xml:space="preserve">Justification / Blessing</t>
  </si>
  <si>
    <t xml:space="preserve">The blessing of Abraham comes upon the Gentiles in Christ Jesus, that we might receive the promise of the Spirit through faith</t>
  </si>
  <si>
    <t xml:space="preserve">Galatians 3:14</t>
  </si>
  <si>
    <t xml:space="preserve">Believing Gentiles</t>
  </si>
  <si>
    <t xml:space="preserve">Holy Spirit / Blessing</t>
  </si>
  <si>
    <t xml:space="preserve">You are all sons of God through faith in Christ Jesus; if you are Christ's, then you are Abraham's seed, and heirs according to the promise</t>
  </si>
  <si>
    <t xml:space="preserve">Galatians 3:26-29</t>
  </si>
  <si>
    <t xml:space="preserve">All in Christ</t>
  </si>
  <si>
    <t xml:space="preserve">He who sows to the Spirit will of the Spirit reap everlasting life</t>
  </si>
  <si>
    <t xml:space="preserve">Galatians 6:8</t>
  </si>
  <si>
    <t xml:space="preserve">Let us not grow weary while doing good, for in due season we shall reap if we do not lose heart</t>
  </si>
  <si>
    <t xml:space="preserve">Galatians 6:9</t>
  </si>
  <si>
    <t xml:space="preserve">Reward / Harvest</t>
  </si>
  <si>
    <t xml:space="preserve">Having believed, you were sealed with the Holy Spirit of promise, who is the guarantee of our inheritance until the redemption of the purchased possession</t>
  </si>
  <si>
    <t xml:space="preserve">Ephesians 1:13-14</t>
  </si>
  <si>
    <t xml:space="preserve">Holy Spirit / Inheritance / Security</t>
  </si>
  <si>
    <t xml:space="preserve">God raised us up together and made us sit together in the heavenly places in Christ, that in the ages to come He might show the exceeding riches of His grace</t>
  </si>
  <si>
    <t xml:space="preserve">Ephesians 2:6-7</t>
  </si>
  <si>
    <t xml:space="preserve">Grace / Glory</t>
  </si>
  <si>
    <t xml:space="preserve">He is able to do exceedingly abundantly above all that we ask or think, according to the power that works in us</t>
  </si>
  <si>
    <t xml:space="preserve">Ephesians 3:20</t>
  </si>
  <si>
    <t xml:space="preserve">Power / Prayer</t>
  </si>
  <si>
    <t xml:space="preserve">Honor your father and mother — the first commandment with promise — that it may be well with you and you may live long on the earth</t>
  </si>
  <si>
    <t xml:space="preserve">Ephesians 6:2-3</t>
  </si>
  <si>
    <t xml:space="preserve">Children / Believers</t>
  </si>
  <si>
    <t xml:space="preserve">Whatever good anyone does, he will receive the same from the Lord, whether he is a slave or free</t>
  </si>
  <si>
    <t xml:space="preserve">Ephesians 6:8</t>
  </si>
  <si>
    <t xml:space="preserve">All believers</t>
  </si>
  <si>
    <t xml:space="preserve">He who has begun a good work in you will complete it until the day of Jesus Christ</t>
  </si>
  <si>
    <t xml:space="preserve">Philippians 1:6</t>
  </si>
  <si>
    <t xml:space="preserve">Perseverance / Sanctification</t>
  </si>
  <si>
    <t xml:space="preserve">God has highly exalted Him and given Him the name above every name, that at the name of Jesus every knee should bow and every tongue confess that Jesus Christ is Lord</t>
  </si>
  <si>
    <t xml:space="preserve">Philippians 2:9-11</t>
  </si>
  <si>
    <t xml:space="preserve">Christ / All creation</t>
  </si>
  <si>
    <t xml:space="preserve">Our citizenship is in heaven, from which we eagerly wait for the Savior, who will transform our lowly body to be conformed to His glorious body</t>
  </si>
  <si>
    <t xml:space="preserve">Philippians 3:20-21</t>
  </si>
  <si>
    <t xml:space="preserve">Resurrection / Second Coming</t>
  </si>
  <si>
    <t xml:space="preserve">The peace of God, which surpasses all understanding, will guard your hearts and minds through Christ Jesus</t>
  </si>
  <si>
    <t xml:space="preserve">Philippians 4:7</t>
  </si>
  <si>
    <t xml:space="preserve">My God shall supply all your need according to His riches in glory by Christ Jesus</t>
  </si>
  <si>
    <t xml:space="preserve">Philippians 4:19</t>
  </si>
  <si>
    <t xml:space="preserve">He has delivered us from the power of darkness and conveyed us into the kingdom of the Son of His love, in whom we have redemption through His blood, the forgiveness of sins</t>
  </si>
  <si>
    <t xml:space="preserve">Colossians 1:13-14</t>
  </si>
  <si>
    <t xml:space="preserve">Redemption / Kingdom</t>
  </si>
  <si>
    <t xml:space="preserve">When Christ who is our life appears, then you also will appear with Him in glory</t>
  </si>
  <si>
    <t xml:space="preserve">Colossians 3:4</t>
  </si>
  <si>
    <t xml:space="preserve">Glory / Second Coming</t>
  </si>
  <si>
    <t xml:space="preserve">Whatever you do, do it heartily, as to the Lord; from the Lord you will receive the reward of the inheritance</t>
  </si>
  <si>
    <t xml:space="preserve">Colossians 3:23-24</t>
  </si>
  <si>
    <t xml:space="preserve">Reward / Inheritance</t>
  </si>
  <si>
    <t xml:space="preserve">If we believe that Jesus died and rose again, even so God will bring with Him those who sleep in Jesus</t>
  </si>
  <si>
    <t xml:space="preserve">1 Thessalonians 4:14</t>
  </si>
  <si>
    <t xml:space="preserve">Believers who have died</t>
  </si>
  <si>
    <t xml:space="preserve">The Lord Himself will descend from heaven with a shout; the dead in Christ will rise first; then we who are alive shall be caught up together with them to meet the Lord in the air — and thus we shall always be with the Lord</t>
  </si>
  <si>
    <t xml:space="preserve">1 Thessalonians 4:16-17</t>
  </si>
  <si>
    <t xml:space="preserve">Second Coming / Resurrection</t>
  </si>
  <si>
    <t xml:space="preserve">God did not appoint us to wrath, but to obtain salvation through our Lord Jesus Christ</t>
  </si>
  <si>
    <t xml:space="preserve">1 Thessalonians 5:9</t>
  </si>
  <si>
    <t xml:space="preserve">May the God of peace Himself sanctify you completely; He who calls you is faithful, who also will do it</t>
  </si>
  <si>
    <t xml:space="preserve">1 Thessalonians 5:23-24</t>
  </si>
  <si>
    <t xml:space="preserve">Sanctification / Faithfulness</t>
  </si>
  <si>
    <t xml:space="preserve">It is a righteous thing with God to repay with tribulation those who trouble you, and to give you who are troubled rest when the Lord Jesus is revealed from heaven</t>
  </si>
  <si>
    <t xml:space="preserve">2 Thessalonians 1:6-7</t>
  </si>
  <si>
    <t xml:space="preserve">Justice / Rest</t>
  </si>
  <si>
    <t xml:space="preserve">The Lord is faithful, who will establish you and guard you from the evil one</t>
  </si>
  <si>
    <t xml:space="preserve">2 Thessalonians 3:3</t>
  </si>
  <si>
    <t xml:space="preserve">Faithfulness / Protection</t>
  </si>
  <si>
    <t xml:space="preserve">Christ Jesus came into the world to save sinners</t>
  </si>
  <si>
    <t xml:space="preserve">1 Timothy 1:15</t>
  </si>
  <si>
    <t xml:space="preserve">Sinners</t>
  </si>
  <si>
    <t xml:space="preserve">Godliness is profitable for all things, having promise of the life that now is and of that which is to come</t>
  </si>
  <si>
    <t xml:space="preserve">1 Timothy 4:8</t>
  </si>
  <si>
    <t xml:space="preserve">The godly</t>
  </si>
  <si>
    <t xml:space="preserve">God gives us richly all things to enjoy; those rich in good works store up a good foundation for the time to come, that they may lay hold on eternal life</t>
  </si>
  <si>
    <t xml:space="preserve">1 Timothy 6:17-19</t>
  </si>
  <si>
    <t xml:space="preserve">Provision / Reward</t>
  </si>
  <si>
    <t xml:space="preserve">He is able to keep what I have committed to Him until that Day</t>
  </si>
  <si>
    <t xml:space="preserve">2 Timothy 1:12</t>
  </si>
  <si>
    <t xml:space="preserve">If we died with Him, we shall also live with Him; if we endure, we shall also reign with Him</t>
  </si>
  <si>
    <t xml:space="preserve">2 Timothy 2:11-12</t>
  </si>
  <si>
    <t xml:space="preserve">Life / Kingdom</t>
  </si>
  <si>
    <t xml:space="preserve">If we are faithless, He remains faithful; He cannot deny Himself</t>
  </si>
  <si>
    <t xml:space="preserve">2 Timothy 2:13</t>
  </si>
  <si>
    <t xml:space="preserve">There is laid up for me the crown of righteousness, which the Lord, the righteous Judge, will give on that Day — and to all who have loved His appearing</t>
  </si>
  <si>
    <t xml:space="preserve">2 Timothy 4:8</t>
  </si>
  <si>
    <t xml:space="preserve">All who love His appearing</t>
  </si>
  <si>
    <t xml:space="preserve">The Lord will deliver me from every evil work and preserve me for His heavenly kingdom</t>
  </si>
  <si>
    <t xml:space="preserve">2 Timothy 4:18</t>
  </si>
  <si>
    <t xml:space="preserve">Deliverance / Kingdom</t>
  </si>
  <si>
    <t xml:space="preserve">In hope of eternal life which God, who cannot lie, promised before time began</t>
  </si>
  <si>
    <t xml:space="preserve">Titus 1:2</t>
  </si>
  <si>
    <t xml:space="preserve">Eternal Life / Faithfulness</t>
  </si>
  <si>
    <t xml:space="preserve">We look for the blessed hope and glorious appearing of our great God and Savior Jesus Christ, who gave Himself for us to redeem us from every lawless deed</t>
  </si>
  <si>
    <t xml:space="preserve">Titus 2:13-14</t>
  </si>
  <si>
    <t xml:space="preserve">According to His mercy He saved us, through the washing of regeneration and renewing of the Holy Spirit, that having been justified by His grace we should become heirs according to the hope of eternal life</t>
  </si>
  <si>
    <t xml:space="preserve">Titus 3:5-7</t>
  </si>
  <si>
    <t xml:space="preserve">Salvation / Holy Spirit / Inheritance</t>
  </si>
  <si>
    <t xml:space="preserve">When He had by Himself purged our sins, He sat down at the right hand of the Majesty on high</t>
  </si>
  <si>
    <t xml:space="preserve">Hebrews 1:3</t>
  </si>
  <si>
    <t xml:space="preserve">God (through the writer)</t>
  </si>
  <si>
    <t xml:space="preserve">Through death He destroyed him who had the power of death, the devil, and released those who through fear of death were all their lifetime subject to bondage</t>
  </si>
  <si>
    <t xml:space="preserve">Hebrews 2:14-15</t>
  </si>
  <si>
    <t xml:space="preserve">There remains therefore a rest for the people of God</t>
  </si>
  <si>
    <t xml:space="preserve">Hebrews 4:9</t>
  </si>
  <si>
    <t xml:space="preserve">Let us come boldly to the throne of grace, that we may obtain mercy and find grace to help in time of need</t>
  </si>
  <si>
    <t xml:space="preserve">Hebrews 4:16</t>
  </si>
  <si>
    <t xml:space="preserve">Grace / Mercy / Prayer</t>
  </si>
  <si>
    <t xml:space="preserve">God is not unjust to forget your work and labor of love which you have shown toward His name</t>
  </si>
  <si>
    <t xml:space="preserve">Hebrews 6:10</t>
  </si>
  <si>
    <t xml:space="preserve">Reward / Justice</t>
  </si>
  <si>
    <t xml:space="preserve">When God made a promise to Abraham, He swore by Himself: Surely blessing I will bless you, and multiplying I will multiply you</t>
  </si>
  <si>
    <t xml:space="preserve">Hebrews 6:13-14</t>
  </si>
  <si>
    <t xml:space="preserve">Blessing / Faithfulness</t>
  </si>
  <si>
    <t xml:space="preserve">By two immutable things, in which it is impossible for God to lie, we have strong consolation — this hope we have as an anchor of the soul</t>
  </si>
  <si>
    <t xml:space="preserve">Hebrews 6:18-19</t>
  </si>
  <si>
    <t xml:space="preserve">Hope / Faithfulness</t>
  </si>
  <si>
    <t xml:space="preserve">He is able to save to the uttermost those who come to God through Him, since He always lives to make intercession for them</t>
  </si>
  <si>
    <t xml:space="preserve">Hebrews 7:25</t>
  </si>
  <si>
    <t xml:space="preserve">All who come to God through Christ</t>
  </si>
  <si>
    <t xml:space="preserve">Salvation / Intercession</t>
  </si>
  <si>
    <t xml:space="preserve">I will put My laws in their mind and write them on their hearts; I will be their God, and they shall be My people</t>
  </si>
  <si>
    <t xml:space="preserve">Hebrews 8:10</t>
  </si>
  <si>
    <t xml:space="preserve">God (citing Jeremiah)</t>
  </si>
  <si>
    <t xml:space="preserve">I will be merciful to their unrighteousness, and their sins and lawless deeds I will remember no more</t>
  </si>
  <si>
    <t xml:space="preserve">Hebrews 8:12</t>
  </si>
  <si>
    <t xml:space="preserve">He is the Mediator of the new covenant, that those who are called may receive the promise of the eternal inheritance</t>
  </si>
  <si>
    <t xml:space="preserve">Hebrews 9:15</t>
  </si>
  <si>
    <t xml:space="preserve">Inheritance / New Covenant</t>
  </si>
  <si>
    <t xml:space="preserve">Christ was offered once to bear the sins of many; to those who eagerly wait for Him He will appear a second time, apart from sin, for salvation</t>
  </si>
  <si>
    <t xml:space="preserve">Hebrews 9:28</t>
  </si>
  <si>
    <t xml:space="preserve">Those who wait for Him</t>
  </si>
  <si>
    <t xml:space="preserve">Second Coming / Salvation</t>
  </si>
  <si>
    <t xml:space="preserve">I will put My laws into their hearts and in their minds I will write them; their sins and lawless deeds I will remember no more</t>
  </si>
  <si>
    <t xml:space="preserve">Hebrews 10:16-17</t>
  </si>
  <si>
    <t xml:space="preserve">Do not cast away your confidence, which has great reward; after you have done the will of God, you will receive the promise</t>
  </si>
  <si>
    <t xml:space="preserve">Hebrews 10:35-36</t>
  </si>
  <si>
    <t xml:space="preserve">Reward / Perseverance</t>
  </si>
  <si>
    <t xml:space="preserve">Yet a little while, and He who is coming will come and will not tarry</t>
  </si>
  <si>
    <t xml:space="preserve">Hebrews 10:37</t>
  </si>
  <si>
    <t xml:space="preserve">He who comes to God must believe that He is, and that He is a rewarder of those who diligently seek Him</t>
  </si>
  <si>
    <t xml:space="preserve">Hebrews 11:6</t>
  </si>
  <si>
    <t xml:space="preserve">Whom the LORD loves He chastens; He disciplines us for our profit, that we may be partakers of His holiness — afterward it yields the peaceable fruit of righteousness</t>
  </si>
  <si>
    <t xml:space="preserve">Hebrews 12:5-11</t>
  </si>
  <si>
    <t xml:space="preserve">God's sons</t>
  </si>
  <si>
    <t xml:space="preserve">Discipline / Sanctification</t>
  </si>
  <si>
    <t xml:space="preserve">He Himself has said: I will never leave you nor forsake you</t>
  </si>
  <si>
    <t xml:space="preserve">Hebrews 13:5</t>
  </si>
  <si>
    <t xml:space="preserve">The LORD is my helper; I will not fear. What can man do to me?</t>
  </si>
  <si>
    <t xml:space="preserve">Hebrews 13:6</t>
  </si>
  <si>
    <t xml:space="preserve">Strength / Protection</t>
  </si>
  <si>
    <t xml:space="preserve">The God of peace who brought up our Lord Jesus from the dead through the blood of the everlasting covenant will make you complete in every good work to do His will</t>
  </si>
  <si>
    <t xml:space="preserve">Hebrews 13:20-21</t>
  </si>
  <si>
    <t xml:space="preserve">Sanctification / Resurrection</t>
  </si>
  <si>
    <t xml:space="preserve">If any of you lacks wisdom, let him ask of God, who gives to all liberally and without reproach, and it will be given to him</t>
  </si>
  <si>
    <t xml:space="preserve">James 1:5</t>
  </si>
  <si>
    <t xml:space="preserve">God (through James)</t>
  </si>
  <si>
    <t xml:space="preserve">All who ask</t>
  </si>
  <si>
    <t xml:space="preserve">Wisdom / Prayer</t>
  </si>
  <si>
    <t xml:space="preserve">Blessed is the man who endures temptation; when he has been approved, he will receive the crown of life which the Lord has promised to those who love Him</t>
  </si>
  <si>
    <t xml:space="preserve">James 1:12</t>
  </si>
  <si>
    <t xml:space="preserve">Reward / Life</t>
  </si>
  <si>
    <t xml:space="preserve">God resists the proud, but gives grace to the humble</t>
  </si>
  <si>
    <t xml:space="preserve">James 4:6</t>
  </si>
  <si>
    <t xml:space="preserve">Grace</t>
  </si>
  <si>
    <t xml:space="preserve">Resist the devil and he will flee from you</t>
  </si>
  <si>
    <t xml:space="preserve">James 4:7</t>
  </si>
  <si>
    <t xml:space="preserve">Draw near to God and He will draw near to you</t>
  </si>
  <si>
    <t xml:space="preserve">James 4:8</t>
  </si>
  <si>
    <t xml:space="preserve">Humble yourselves in the sight of the Lord, and He will lift you up</t>
  </si>
  <si>
    <t xml:space="preserve">James 4:10</t>
  </si>
  <si>
    <t xml:space="preserve">Exaltation</t>
  </si>
  <si>
    <t xml:space="preserve">The prayer of faith will save the sick, and the Lord will raise him up; if he has committed sins, he will be forgiven</t>
  </si>
  <si>
    <t xml:space="preserve">James 5:15</t>
  </si>
  <si>
    <t xml:space="preserve">The sick / The praying church</t>
  </si>
  <si>
    <t xml:space="preserve">He has begotten us again to a living hope through the resurrection of Jesus Christ, to an inheritance incorruptible, undefiled, that does not fade away, reserved in heaven for you</t>
  </si>
  <si>
    <t xml:space="preserve">1 Peter 1:3-4</t>
  </si>
  <si>
    <t xml:space="preserve">Inheritance / Resurrection / Hope</t>
  </si>
  <si>
    <t xml:space="preserve">You are kept by the power of God through faith for salvation ready to be revealed in the last time</t>
  </si>
  <si>
    <t xml:space="preserve">1 Peter 1:5</t>
  </si>
  <si>
    <t xml:space="preserve">Security / Salvation</t>
  </si>
  <si>
    <t xml:space="preserve">Behold, I lay in Zion a chief cornerstone, elect, precious, and he who believes on Him will by no means be put to shame</t>
  </si>
  <si>
    <t xml:space="preserve">1 Peter 2:6</t>
  </si>
  <si>
    <t xml:space="preserve">God (citing Isaiah)</t>
  </si>
  <si>
    <t xml:space="preserve">Messiah / Security</t>
  </si>
  <si>
    <t xml:space="preserve">You are a chosen generation, a royal priesthood, a holy nation, His own special people</t>
  </si>
  <si>
    <t xml:space="preserve">1 Peter 2:9</t>
  </si>
  <si>
    <t xml:space="preserve">Identity / Priesthood</t>
  </si>
  <si>
    <t xml:space="preserve">The eyes of the LORD are on the righteous, and His ears are open to their prayers</t>
  </si>
  <si>
    <t xml:space="preserve">1 Peter 3:12</t>
  </si>
  <si>
    <t xml:space="preserve">God (through Peter, citing Psalm 34)</t>
  </si>
  <si>
    <t xml:space="preserve">When the Chief Shepherd appears, you will receive the crown of glory that does not fade away</t>
  </si>
  <si>
    <t xml:space="preserve">1 Peter 5:4</t>
  </si>
  <si>
    <t xml:space="preserve">Faithful shepherds</t>
  </si>
  <si>
    <t xml:space="preserve">Reward / Second Coming</t>
  </si>
  <si>
    <t xml:space="preserve">Humble yourselves under the mighty hand of God, that He may exalt you in due time, casting all your care upon Him, for He cares for you</t>
  </si>
  <si>
    <t xml:space="preserve">1 Peter 5:6-7</t>
  </si>
  <si>
    <t xml:space="preserve">Exaltation / Care</t>
  </si>
  <si>
    <t xml:space="preserve">The God of all grace, who called us to His eternal glory by Christ Jesus, after you have suffered a while, will perfect, establish, strengthen, and settle you</t>
  </si>
  <si>
    <t xml:space="preserve">1 Peter 5:10</t>
  </si>
  <si>
    <t xml:space="preserve">Suffering believers</t>
  </si>
  <si>
    <t xml:space="preserve">Restoration / Strength</t>
  </si>
  <si>
    <t xml:space="preserve">He has given us exceedingly great and precious promises, that through these you may be partakers of the divine nature</t>
  </si>
  <si>
    <t xml:space="preserve">2 Peter 1:4</t>
  </si>
  <si>
    <t xml:space="preserve">Sanctification / Promises</t>
  </si>
  <si>
    <t xml:space="preserve">If you do these things you will never stumble, and an entrance will be supplied to you abundantly into the everlasting kingdom of our Lord Jesus Christ</t>
  </si>
  <si>
    <t xml:space="preserve">2 Peter 1:10-11</t>
  </si>
  <si>
    <t xml:space="preserve">Diligent believers</t>
  </si>
  <si>
    <t xml:space="preserve">Kingdom / Perseverance</t>
  </si>
  <si>
    <t xml:space="preserve">The Lord knows how to deliver the godly out of temptations and to reserve the unjust under punishment for the day of judgment</t>
  </si>
  <si>
    <t xml:space="preserve">2 Peter 2:9</t>
  </si>
  <si>
    <t xml:space="preserve">The godly / The unjust</t>
  </si>
  <si>
    <t xml:space="preserve">Deliverance / Judgment</t>
  </si>
  <si>
    <t xml:space="preserve">The Lord is not slack concerning His promise, but is longsuffering toward us, not willing that any should perish but that all should come to repentance</t>
  </si>
  <si>
    <t xml:space="preserve">2 Peter 3:9</t>
  </si>
  <si>
    <t xml:space="preserve">We, according to His promise, look for new heavens and a new earth in which righteousness dwells</t>
  </si>
  <si>
    <t xml:space="preserve">2 Peter 3:13</t>
  </si>
  <si>
    <t xml:space="preserve">If we confess our sins, He is faithful and just to forgive us our sins and to cleanse us from all unrighteousness</t>
  </si>
  <si>
    <t xml:space="preserve">1 John 1:9</t>
  </si>
  <si>
    <t xml:space="preserve">The confessing</t>
  </si>
  <si>
    <t xml:space="preserve">If anyone sins, we have an Advocate with the Father, Jesus Christ the righteous — He Himself is the propitiation for our sins, and for the whole world</t>
  </si>
  <si>
    <t xml:space="preserve">1 John 2:1-2</t>
  </si>
  <si>
    <t xml:space="preserve">Advocacy / Atonement</t>
  </si>
  <si>
    <t xml:space="preserve">He who does the will of God abides forever</t>
  </si>
  <si>
    <t xml:space="preserve">1 John 2:17</t>
  </si>
  <si>
    <t xml:space="preserve">This is the promise that He has promised us — eternal life</t>
  </si>
  <si>
    <t xml:space="preserve">1 John 2:25</t>
  </si>
  <si>
    <t xml:space="preserve">We know that when He is revealed, we shall be like Him, for we shall see Him as He is</t>
  </si>
  <si>
    <t xml:space="preserve">1 John 3:2</t>
  </si>
  <si>
    <t xml:space="preserve">Children of God</t>
  </si>
  <si>
    <t xml:space="preserve">Glorification / Second Coming</t>
  </si>
  <si>
    <t xml:space="preserve">Whoever confesses that Jesus is the Son of God, God abides in him, and he in God</t>
  </si>
  <si>
    <t xml:space="preserve">1 John 4:15</t>
  </si>
  <si>
    <t xml:space="preserve">Presence / Union</t>
  </si>
  <si>
    <t xml:space="preserve">God has given us eternal life, and this life is in His Son; he who has the Son has life</t>
  </si>
  <si>
    <t xml:space="preserve">1 John 5:11-12</t>
  </si>
  <si>
    <t xml:space="preserve">Those who have the Son</t>
  </si>
  <si>
    <t xml:space="preserve">If we ask anything according to His will, He hears us; and we know that we have the petitions that we have asked of Him</t>
  </si>
  <si>
    <t xml:space="preserve">1 John 5:14-15</t>
  </si>
  <si>
    <t xml:space="preserve">The truth abides in us and will be with us forever</t>
  </si>
  <si>
    <t xml:space="preserve">2 John 1:2</t>
  </si>
  <si>
    <t xml:space="preserve">Faithfulness / Truth</t>
  </si>
  <si>
    <t xml:space="preserve">He is able to keep you from stumbling and to present you faultless before the presence of His glory with exceeding joy</t>
  </si>
  <si>
    <t xml:space="preserve">Jude 1:24</t>
  </si>
  <si>
    <t xml:space="preserve">God (through Jude)</t>
  </si>
  <si>
    <t xml:space="preserve">Security / Glorification</t>
  </si>
  <si>
    <t xml:space="preserve">Behold, He is coming with clouds, and every eye will see Him, even they who pierced Him</t>
  </si>
  <si>
    <t xml:space="preserve">Revelation 1:7</t>
  </si>
  <si>
    <t xml:space="preserve">I am He who lives, and was dead, and behold, I am alive forevermore; and I have the keys of Hades and of Death</t>
  </si>
  <si>
    <t xml:space="preserve">Revelation 1:18</t>
  </si>
  <si>
    <t xml:space="preserve">John / The Church</t>
  </si>
  <si>
    <t xml:space="preserve">Resurrection / Victory</t>
  </si>
  <si>
    <t xml:space="preserve">To him who overcomes I will give to eat from the tree of life, which is in the midst of the Paradise of God</t>
  </si>
  <si>
    <t xml:space="preserve">Revelation 2:7</t>
  </si>
  <si>
    <t xml:space="preserve">Overcomers (Ephesus)</t>
  </si>
  <si>
    <t xml:space="preserve">Be faithful until death, and I will give you the crown of life</t>
  </si>
  <si>
    <t xml:space="preserve">Revelation 2:10</t>
  </si>
  <si>
    <t xml:space="preserve">Smyrna / The faithful</t>
  </si>
  <si>
    <t xml:space="preserve">He who overcomes shall not be hurt by the second death</t>
  </si>
  <si>
    <t xml:space="preserve">Revelation 2:11</t>
  </si>
  <si>
    <t xml:space="preserve">Overcomers (Smyrna)</t>
  </si>
  <si>
    <t xml:space="preserve">To him who overcomes I will give some of the hidden manna to eat, and a white stone with a new name written on it</t>
  </si>
  <si>
    <t xml:space="preserve">Revelation 2:17</t>
  </si>
  <si>
    <t xml:space="preserve">Overcomers (Pergamos)</t>
  </si>
  <si>
    <t xml:space="preserve">Provision / Identity</t>
  </si>
  <si>
    <t xml:space="preserve">He who overcomes and keeps My works until the end, to him I will give power over the nations — and I will give him the morning star</t>
  </si>
  <si>
    <t xml:space="preserve">Revelation 2:26-28</t>
  </si>
  <si>
    <t xml:space="preserve">Overcomers (Thyatira)</t>
  </si>
  <si>
    <t xml:space="preserve">Authority / Kingdom</t>
  </si>
  <si>
    <t xml:space="preserve">He who overcomes shall be clothed in white garments; I will not blot out his name from the Book of Life, but I will confess his name before My Father and His angels</t>
  </si>
  <si>
    <t xml:space="preserve">Revelation 3:5</t>
  </si>
  <si>
    <t xml:space="preserve">Overcomers (Sardis)</t>
  </si>
  <si>
    <t xml:space="preserve">Security / Acknowledgment</t>
  </si>
  <si>
    <t xml:space="preserve">Because you have kept My command to persevere, I also will keep you from the hour of trial which shall come upon the whole world</t>
  </si>
  <si>
    <t xml:space="preserve">Revelation 3:10</t>
  </si>
  <si>
    <t xml:space="preserve">Philadelphia / The persevering</t>
  </si>
  <si>
    <t xml:space="preserve">He who overcomes, I will make him a pillar in the temple of My God, and he shall go out no more; I will write on him the name of My God and the name of the city of My God</t>
  </si>
  <si>
    <t xml:space="preserve">Revelation 3:12</t>
  </si>
  <si>
    <t xml:space="preserve">Overcomers (Philadelphia)</t>
  </si>
  <si>
    <t xml:space="preserve">Identity / Presence</t>
  </si>
  <si>
    <t xml:space="preserve">Behold, I stand at the door and knock; if anyone hears My voice and opens the door, I will come in to him and dine with him, and he with Me</t>
  </si>
  <si>
    <t xml:space="preserve">Revelation 3:20</t>
  </si>
  <si>
    <t xml:space="preserve">Laodicea / All who open</t>
  </si>
  <si>
    <t xml:space="preserve">Presence / Fellowship</t>
  </si>
  <si>
    <t xml:space="preserve">To him who overcomes I will grant to sit with Me on My throne, as I also overcame and sat down with My Father on His throne</t>
  </si>
  <si>
    <t xml:space="preserve">Revelation 3:21</t>
  </si>
  <si>
    <t xml:space="preserve">Overcomers (Laodicea)</t>
  </si>
  <si>
    <t xml:space="preserve">They shall neither hunger anymore nor thirst anymore; the Lamb will shepherd them and lead them to living fountains of waters, and God will wipe away every tear from their eyes</t>
  </si>
  <si>
    <t xml:space="preserve">Revelation 7:16-17</t>
  </si>
  <si>
    <t xml:space="preserve">The redeemed multitude</t>
  </si>
  <si>
    <t xml:space="preserve">The kingdoms of this world have become the kingdoms of our Lord and of His Christ, and He shall reign forever and ever</t>
  </si>
  <si>
    <t xml:space="preserve">Revelation 11:15</t>
  </si>
  <si>
    <t xml:space="preserve">God (through heavenly voices)</t>
  </si>
  <si>
    <t xml:space="preserve">Blessed are the dead who die in the Lord from now on; they rest from their labors, and their works follow them</t>
  </si>
  <si>
    <t xml:space="preserve">Revelation 14:13</t>
  </si>
  <si>
    <t xml:space="preserve">God (through the Spirit)</t>
  </si>
  <si>
    <t xml:space="preserve">Those who die in the Lord</t>
  </si>
  <si>
    <t xml:space="preserve">Rest / Reward</t>
  </si>
  <si>
    <t xml:space="preserve">Blessed are those who are called to the marriage supper of the Lamb</t>
  </si>
  <si>
    <t xml:space="preserve">Revelation 19:9</t>
  </si>
  <si>
    <t xml:space="preserve">Fellowship / Joy</t>
  </si>
  <si>
    <t xml:space="preserve">Blessed and holy is he who has part in the first resurrection; over such the second death has no power, but they shall be priests of God and of Christ and shall reign with Him a thousand years</t>
  </si>
  <si>
    <t xml:space="preserve">Revelation 20:6</t>
  </si>
  <si>
    <t xml:space="preserve">Partakers of the first resurrection</t>
  </si>
  <si>
    <t xml:space="preserve">Resurrection / Kingdom / Priesthood</t>
  </si>
  <si>
    <t xml:space="preserve">Behold, the tabernacle of God is with men, and He will dwell with them, and they shall be His people; God Himself will be with them and be their God</t>
  </si>
  <si>
    <t xml:space="preserve">Revelation 21:3</t>
  </si>
  <si>
    <t xml:space="preserve">God will wipe away every tear from their eyes; there shall be no more death, nor sorrow, nor crying; there shall be no more pain, for the former things have passed away</t>
  </si>
  <si>
    <t xml:space="preserve">Revelation 21:4</t>
  </si>
  <si>
    <t xml:space="preserve">Comfort / New Creation</t>
  </si>
  <si>
    <t xml:space="preserve">Behold, I make all things new</t>
  </si>
  <si>
    <t xml:space="preserve">Revelation 21:5</t>
  </si>
  <si>
    <t xml:space="preserve">I will give of the fountain of the water of life freely to him who thirsts</t>
  </si>
  <si>
    <t xml:space="preserve">Revelation 21:6</t>
  </si>
  <si>
    <t xml:space="preserve">The thirsty</t>
  </si>
  <si>
    <t xml:space="preserve">He who overcomes shall inherit all things, and I will be his God and he shall be My son</t>
  </si>
  <si>
    <t xml:space="preserve">Revelation 21:7</t>
  </si>
  <si>
    <t xml:space="preserve">Overcomers</t>
  </si>
  <si>
    <t xml:space="preserve">Inheritance / Adoption</t>
  </si>
  <si>
    <t xml:space="preserve">They shall see His face, and His name shall be on their foreheads</t>
  </si>
  <si>
    <t xml:space="preserve">Revelation 22:4</t>
  </si>
  <si>
    <t xml:space="preserve">There shall be no night there; the Lord God gives them light, and they shall reign forever and ever</t>
  </si>
  <si>
    <t xml:space="preserve">Revelation 22:5</t>
  </si>
  <si>
    <t xml:space="preserve">Behold, I am coming quickly! Blessed is he who keeps the words of the prophecy of this book</t>
  </si>
  <si>
    <t xml:space="preserve">Revelation 22:7</t>
  </si>
  <si>
    <t xml:space="preserve">All who keep His words</t>
  </si>
  <si>
    <t xml:space="preserve">Second Coming / Blessing</t>
  </si>
  <si>
    <t xml:space="preserve">Behold, I am coming quickly, and My reward is with Me, to give to every one according to his work</t>
  </si>
  <si>
    <t xml:space="preserve">Revelation 22:12</t>
  </si>
  <si>
    <t xml:space="preserve">Blessed are those who do His commandments, that they may have the right to the tree of life, and may enter through the gates into the city</t>
  </si>
  <si>
    <t xml:space="preserve">Revelation 22:14</t>
  </si>
  <si>
    <t xml:space="preserve">Eternal Life / Access</t>
  </si>
  <si>
    <t xml:space="preserve">Surely I am coming quickly</t>
  </si>
  <si>
    <t xml:space="preserve">Revelation 22:20</t>
  </si>
  <si>
    <t xml:space="preserve">Book</t>
  </si>
  <si>
    <t xml:space="preserve">Promises Indexed</t>
  </si>
  <si>
    <t xml:space="preserve">Genesis</t>
  </si>
  <si>
    <t xml:space="preserve">Exodus</t>
  </si>
  <si>
    <t xml:space="preserve">Leviticus</t>
  </si>
  <si>
    <t xml:space="preserve">Numbers</t>
  </si>
  <si>
    <t xml:space="preserve">Deuteronomy</t>
  </si>
  <si>
    <t xml:space="preserve">Judges</t>
  </si>
  <si>
    <t xml:space="preserve">1 Samuel</t>
  </si>
  <si>
    <t xml:space="preserve">2 Samuel</t>
  </si>
  <si>
    <t xml:space="preserve">1 Kings</t>
  </si>
  <si>
    <t xml:space="preserve">2 Kings</t>
  </si>
  <si>
    <t xml:space="preserve">1 Chronicles</t>
  </si>
  <si>
    <t xml:space="preserve">2 Chronicles</t>
  </si>
  <si>
    <t xml:space="preserve">Ezra</t>
  </si>
  <si>
    <t xml:space="preserve">Nehemiah</t>
  </si>
  <si>
    <t xml:space="preserve">Psalms</t>
  </si>
  <si>
    <t xml:space="preserve">Proverbs</t>
  </si>
  <si>
    <t xml:space="preserve">Ecclesiastes</t>
  </si>
  <si>
    <t xml:space="preserve">Lamentations</t>
  </si>
  <si>
    <t xml:space="preserve">Ezekiel</t>
  </si>
  <si>
    <t xml:space="preserve">Hosea</t>
  </si>
  <si>
    <t xml:space="preserve">Joel</t>
  </si>
  <si>
    <t xml:space="preserve">Amos</t>
  </si>
  <si>
    <t xml:space="preserve">Obadiah</t>
  </si>
  <si>
    <t xml:space="preserve">Jonah</t>
  </si>
  <si>
    <t xml:space="preserve">Micah</t>
  </si>
  <si>
    <t xml:space="preserve">Nahum</t>
  </si>
  <si>
    <t xml:space="preserve">Zephaniah</t>
  </si>
  <si>
    <t xml:space="preserve">Haggai</t>
  </si>
  <si>
    <t xml:space="preserve">Zechariah</t>
  </si>
  <si>
    <t xml:space="preserve">Malachi</t>
  </si>
  <si>
    <t xml:space="preserve">Matthew</t>
  </si>
  <si>
    <t xml:space="preserve">Mark</t>
  </si>
  <si>
    <t xml:space="preserve">Luke</t>
  </si>
  <si>
    <t xml:space="preserve">John</t>
  </si>
  <si>
    <t xml:space="preserve">Acts</t>
  </si>
  <si>
    <t xml:space="preserve">Romans</t>
  </si>
  <si>
    <t xml:space="preserve">1 Corinthians</t>
  </si>
  <si>
    <t xml:space="preserve">2 Corinthians</t>
  </si>
  <si>
    <t xml:space="preserve">Galatians</t>
  </si>
  <si>
    <t xml:space="preserve">Ephesians</t>
  </si>
  <si>
    <t xml:space="preserve">Philippians</t>
  </si>
  <si>
    <t xml:space="preserve">Colossians</t>
  </si>
  <si>
    <t xml:space="preserve">1 Thessalonians</t>
  </si>
  <si>
    <t xml:space="preserve">2 Thessalonians</t>
  </si>
  <si>
    <t xml:space="preserve">1 Timothy</t>
  </si>
  <si>
    <t xml:space="preserve">2 Timothy</t>
  </si>
  <si>
    <t xml:space="preserve">Titus</t>
  </si>
  <si>
    <t xml:space="preserve">Hebrews</t>
  </si>
  <si>
    <t xml:space="preserve">James</t>
  </si>
  <si>
    <t xml:space="preserve">1 Peter</t>
  </si>
  <si>
    <t xml:space="preserve">2 Peter</t>
  </si>
  <si>
    <t xml:space="preserve">1 John</t>
  </si>
  <si>
    <t xml:space="preserve">2 John</t>
  </si>
  <si>
    <t xml:space="preserve">Jude</t>
  </si>
  <si>
    <t xml:space="preserve">Esther</t>
  </si>
  <si>
    <t xml:space="preserve">Song of Solomon</t>
  </si>
  <si>
    <t xml:space="preserve">Philemon</t>
  </si>
  <si>
    <t xml:space="preserve">3 John</t>
  </si>
  <si>
    <t xml:space="preserve">TOTAL</t>
  </si>
  <si>
    <t xml:space="preserve">Count</t>
  </si>
  <si>
    <t xml:space="preserve">Joy</t>
  </si>
  <si>
    <t xml:space="preserve">Glory</t>
  </si>
  <si>
    <t xml:space="preserve">Honor</t>
  </si>
  <si>
    <t xml:space="preserve">Hope</t>
  </si>
  <si>
    <t xml:space="preserve">Identity</t>
  </si>
  <si>
    <t xml:space="preserve">Atonement</t>
  </si>
  <si>
    <t xml:space="preserve">Commission</t>
  </si>
  <si>
    <t xml:space="preserve">Perseverance</t>
  </si>
  <si>
    <t xml:space="preserve">Priesthood</t>
  </si>
  <si>
    <t xml:space="preserve">Care</t>
  </si>
  <si>
    <t xml:space="preserve">Family</t>
  </si>
  <si>
    <t xml:space="preserve">Preservation</t>
  </si>
  <si>
    <t xml:space="preserve">The Cross</t>
  </si>
  <si>
    <t xml:space="preserve">Worship</t>
  </si>
  <si>
    <t xml:space="preserve">Acceptance</t>
  </si>
  <si>
    <t xml:space="preserve">Access</t>
  </si>
  <si>
    <t xml:space="preserve">Faith</t>
  </si>
  <si>
    <t xml:space="preserve">Glorification</t>
  </si>
  <si>
    <t xml:space="preserve">Multiplication</t>
  </si>
  <si>
    <t xml:space="preserve">Nations</t>
  </si>
  <si>
    <t xml:space="preserve">Righteousness</t>
  </si>
  <si>
    <t xml:space="preserve">Authority</t>
  </si>
  <si>
    <t xml:space="preserve">Discipline</t>
  </si>
  <si>
    <t xml:space="preserve">Eschatology</t>
  </si>
  <si>
    <t xml:space="preserve">Fellowship</t>
  </si>
  <si>
    <t xml:space="preserve">Harvest</t>
  </si>
  <si>
    <t xml:space="preserve">Heaven</t>
  </si>
  <si>
    <t xml:space="preserve">Help</t>
  </si>
  <si>
    <t xml:space="preserve">Light</t>
  </si>
  <si>
    <t xml:space="preserve">Remnant</t>
  </si>
  <si>
    <t xml:space="preserve">Substitution</t>
  </si>
  <si>
    <t xml:space="preserve">Truth</t>
  </si>
  <si>
    <t xml:space="preserve">Abundance</t>
  </si>
  <si>
    <t xml:space="preserve">Advocacy</t>
  </si>
  <si>
    <t xml:space="preserve">Church</t>
  </si>
  <si>
    <t xml:space="preserve">Continuity</t>
  </si>
  <si>
    <t xml:space="preserve">Election</t>
  </si>
  <si>
    <t xml:space="preserve">Fatherhood</t>
  </si>
  <si>
    <t xml:space="preserve">Gathering</t>
  </si>
  <si>
    <t xml:space="preserve">Intercession</t>
  </si>
  <si>
    <t xml:space="preserve">Knowledge of God</t>
  </si>
  <si>
    <t xml:space="preserve">Messiah (line)</t>
  </si>
  <si>
    <t xml:space="preserve">Promises</t>
  </si>
  <si>
    <t xml:space="preserve">Repentance</t>
  </si>
  <si>
    <t xml:space="preserve">Sovereignty</t>
  </si>
  <si>
    <t xml:space="preserve">Transformation</t>
  </si>
  <si>
    <t xml:space="preserve">Union</t>
  </si>
  <si>
    <t xml:space="preserve">Unity</t>
  </si>
  <si>
    <t xml:space="preserve">Entry Numbers</t>
  </si>
  <si>
    <t xml:space="preserve">860</t>
  </si>
  <si>
    <t xml:space="preserve">669, 670, 850</t>
  </si>
  <si>
    <t xml:space="preserve">557, 570, 1045</t>
  </si>
  <si>
    <t xml:space="preserve">796, 833, 1026</t>
  </si>
  <si>
    <t xml:space="preserve">714, 716, 784, 829, 842, 904, 931, 936, 1040</t>
  </si>
  <si>
    <t xml:space="preserve">1010</t>
  </si>
  <si>
    <t xml:space="preserve">205, 541, 542, 665, 852, 1010</t>
  </si>
  <si>
    <t xml:space="preserve">831, 1025</t>
  </si>
  <si>
    <t xml:space="preserve">16, 17, 18, 19, 21, 43, 52, 57, 61, 69, 101, 102, 106, 123, 131, 151, 152, 153, 154, 156, 157, 174, 175, 176, 177, 181, 182, 186, 188, 193, 194, 200, 214, 216, 233, 244, 255, 272, 292, 295, 297, 310, 322, 330, 353, 364, 369, 388, 392, 402, 408, 429, 436, 439, 458, 556, 565, 584, 597, 601, 639, 644, 679, 752, 761, 773, 885, 934, 935, 942, 959, 974, 1043</t>
  </si>
  <si>
    <t xml:space="preserve">465, 656, 682, 795, 1002</t>
  </si>
  <si>
    <t xml:space="preserve">802</t>
  </si>
  <si>
    <t xml:space="preserve">446, 538, 643, 685, 689, 690, 695, 766, 1009</t>
  </si>
  <si>
    <t xml:space="preserve">308, 312, 315, 326, 393, 419, 460, 490, 494, 527, 531, 534, 574, 588, 626, 630, 660, 779, 828, 871, 1031, 1037</t>
  </si>
  <si>
    <t xml:space="preserve">78, 203, 228, 816, 868, 894</t>
  </si>
  <si>
    <t xml:space="preserve">305, 346, 349, 380, 409, 580</t>
  </si>
  <si>
    <t xml:space="preserve">375</t>
  </si>
  <si>
    <t xml:space="preserve">4, 10, 11, 12, 13, 32, 35, 38, 39, 42, 44, 49, 58, 89, 99, 115, 123, 125, 128, 129, 130, 144, 155, 161, 225, 246, 249, 257, 274, 276, 361, 363, 382, 387, 504, 547, 552, 568, 576, 597, 619, 620, 637, 650, 651, 664, 665, 677, 678, 682, 688, 695, 697, 715, 738, 760, 767, 914, 1036</t>
  </si>
  <si>
    <t xml:space="preserve">5, 29, 76, 77, 78, 81, 82, 86, 87, 95, 126, 132, 230, 231, 236, 266, 268, 284, 289, 301, 320, 321, 325, 327, 339, 340, 343, 367, 384, 450, 456, 475, 505, 521, 525, 530, 535, 591, 599, 600, 614, 615, 652, 672, 680, 710, 731, 745, 895, 920, 965, 970, 1006</t>
  </si>
  <si>
    <t xml:space="preserve">249, 985</t>
  </si>
  <si>
    <t xml:space="preserve">753</t>
  </si>
  <si>
    <t xml:space="preserve">443, 572</t>
  </si>
  <si>
    <t xml:space="preserve">309, 806, 819, 835, 840, 843, 844, 845, 846, 847, 852, 853, 858, 861, 863, 901, 937, 966, 1011, 1012, 1015, 1021, 1023, 1039, 1045</t>
  </si>
  <si>
    <t xml:space="preserve">338, 391, 420, 994, 1002</t>
  </si>
  <si>
    <t xml:space="preserve">741, 804, 817</t>
  </si>
  <si>
    <t xml:space="preserve">67, 129, 142, 150, 155, 201, 213, 222, 225, 238, 258, 265, 279, 287, 293, 299, 312, 331, 345, 347, 363, 370, 373, 375, 382, 410, 438, 492, 500, 506, 507, 516, 521, 522, 528, 529, 546, 547, 554, 590, 615, 631, 635, 636, 640, 647, 650, 655, 658, 700, 738, 740, 771, 811, 915, 917, 920, 924, 955, 957, 963, 966, 974, 975, 986, 1007, 1017</t>
  </si>
  <si>
    <t xml:space="preserve">177, 349, 388, 391, 402</t>
  </si>
  <si>
    <t xml:space="preserve">623</t>
  </si>
  <si>
    <t xml:space="preserve">421, 422, 586</t>
  </si>
  <si>
    <t xml:space="preserve">1029, 1034</t>
  </si>
  <si>
    <t xml:space="preserve">360, 379, 441, 446, 482, 490, 513, 515, 553, 634, 643, 657, 737, 758, 788, 813, 821, 890, 891, 978, 981, 995, 1009</t>
  </si>
  <si>
    <t xml:space="preserve">856, 857</t>
  </si>
  <si>
    <t xml:space="preserve">369, 466, 876</t>
  </si>
  <si>
    <t xml:space="preserve">823</t>
  </si>
  <si>
    <t xml:space="preserve">908, 1013, 1018</t>
  </si>
  <si>
    <t xml:space="preserve">354, 480, 483, 569, 712, 742, 750, 751, 783, 884, 905, 918, 927, 940, 950, 1041, 1042</t>
  </si>
  <si>
    <t xml:space="preserve">316, 322, 413, 659</t>
  </si>
  <si>
    <t xml:space="preserve">113, 114, 358, 431, 471, 900, 932, 933, 940, 972, 991</t>
  </si>
  <si>
    <t xml:space="preserve">14, 56, 103, 111, 311, 318, 335, 342, 411, 426, 473, 486, 507, 517, 523, 526, 562, 563, 880</t>
  </si>
  <si>
    <t xml:space="preserve">400, 938</t>
  </si>
  <si>
    <t xml:space="preserve">96, 105, 140, 158, 269, 281, 340, 376, 384, 418, 419, 457, 469, 482, 485, 489, 540, 560, 561, 574, 596, 617, 642, 674, 703, 704, 717, 720, 775, 995</t>
  </si>
  <si>
    <t xml:space="preserve">867, 928</t>
  </si>
  <si>
    <t xml:space="preserve">208, 499</t>
  </si>
  <si>
    <t xml:space="preserve">423, 451, 476, 502, 514, 567, 568, 663, 687, 693, 701, 724, 749, 765, 793, 822, 832, 841, 854, 870, 874, 879, 880, 886, 887, 890, 903, 906, 925, 935, 939, 968</t>
  </si>
  <si>
    <t xml:space="preserve">393, 510, 529, 544, 571, 576, 644, 723, 747, 864, 912</t>
  </si>
  <si>
    <t xml:space="preserve">389, 480, 610, 628, 740, 866, 905, 927, 975, 996</t>
  </si>
  <si>
    <t xml:space="preserve">173, 564, 577, 579, 999, 1024, 1028</t>
  </si>
  <si>
    <t xml:space="preserve">26, 90, 136, 139, 332, 333, 338, 550, 556, 558, 565, 573, 581, 708, 713, 731, 780, 812, 904, 936, 939, 951, 968, 979, 996, 1040</t>
  </si>
  <si>
    <t xml:space="preserve">976</t>
  </si>
  <si>
    <t xml:space="preserve">303, 315, 372, 400, 461, 469, 487, 533, 555, 576, 583, 589, 618, 622, 625, 626, 645, 827, 878, 881, 882, 1034</t>
  </si>
  <si>
    <t xml:space="preserve">6, 20, 28, 111, 114, 127, 133, 135, 137, 170, 195, 233, 235, 239, 252, 270, 293, 371, 417, 429, 440, 456, 603, 711, 730, 848, 1006</t>
  </si>
  <si>
    <t xml:space="preserve">162, 204, 205, 300, 301, 337, 371, 409, 412, 418, 420, 440, 484, 502, 602, 616, 675, 730, 801, 956, 973</t>
  </si>
  <si>
    <t xml:space="preserve">542, 847, 897, 898, 902, 930, 934</t>
  </si>
  <si>
    <t xml:space="preserve">37, 41, 70, 75, 143, 239, 240, 246, 247, 248, 251, 260, 261, 262, 267, 275, 277, 278, 294, 306, 351, 352, 361, 362, 404, 407, 443, 444, 449, 459, 481, 520, 595, 605, 649, 666, 676, 694, 696, 702, 706, 707, 708, 728, 732, 734, 742, 757, 768, 769, 778, 785, 809, 812, 825, 834, 839, 945, 949, 962, 965, 1005, 1025, 1030, 1032, 1035, 1042</t>
  </si>
  <si>
    <t xml:space="preserve">634</t>
  </si>
  <si>
    <t xml:space="preserve">22, 23, 31, 32, 39, 58, 59, 62, 71, 73, 76, 77, 81, 90, 101, 108, 109, 116, 117, 138, 160, 164, 186, 198, 211, 221, 245, 273, 613, 639, 662, 688, 696, 729</t>
  </si>
  <si>
    <t xml:space="preserve">151, 153, 256, 303, 329, 350, 368, 408, 431, 436, 552, 667, 668, 693, 703, 727, 741, 797, 849, 855, 860, 942, 959, 962, 990, 1022</t>
  </si>
  <si>
    <t xml:space="preserve">389, 855</t>
  </si>
  <si>
    <t xml:space="preserve">510, 528, 544, 577, 621, 629, 715, 720, 746, 872, 873, 878, 910</t>
  </si>
  <si>
    <t xml:space="preserve">7, 8, 47, 48, 100, 113, 114, 130, 135, 137, 150, 204, 250, 252, 261, 271, 276, 285, 286, 309, 319, 344, 360, 362, 373, 376, 377, 378, 381, 403, 413, 437, 441, 455, 471, 472, 503, 527, 535, 545, 546, 553, 593, 598, 603, 629, 658, 660, 667, 668, 699, 716, 718, 721, 737, 755, 764, 771, 774, 782, 801, 972, 978, 1007</t>
  </si>
  <si>
    <t xml:space="preserve">1, 21, 49, 55, 60, 64, 75, 143, 168, 169, 234, 247, 248, 251, 275, 294, 351, 352, 353, 385, 386, 394, 404, 407, 445, 447, 448, 449, 451, 453, 468, 485, 491, 502, 503, 504, 505, 524, 525, 538, 539, 540, 543, 568, 574, 605, 606, 614, 647, 648, 649, 666, 676, 677, 696, 707, 735, 736, 750, 758, 762, 765, 770, 775, 777, 825, 827, 945, 998</t>
  </si>
  <si>
    <t xml:space="preserve">651, 683, 691</t>
  </si>
  <si>
    <t xml:space="preserve">15, 24, 27, 33, 36, 37, 41, 43, 50, 51, 53, 59, 63, 69, 70, 72, 73, 635</t>
  </si>
  <si>
    <t xml:space="preserve">458, 557, 569</t>
  </si>
  <si>
    <t xml:space="preserve">632, 633, 638, 813, 977, 979, 981</t>
  </si>
  <si>
    <t xml:space="preserve">452, 512, 582, 583, 590, 929, 1008, 1037, 1038</t>
  </si>
  <si>
    <t xml:space="preserve">199, 608, 633, 638, 663, 686, 977</t>
  </si>
  <si>
    <t xml:space="preserve">30, 112, 119, 120, 131, 165, 210, 245, 271, 273, 278, 296, 314, 333, 359, 390, 395, 424, 428, 434, 444, 452, 462, 463, 477, 478, 548, 549, 555, 560, 587, 604, 610, 642, 646, 671, 678, 734, 751, 799, 875, 883, 898, 947</t>
  </si>
  <si>
    <t xml:space="preserve">794, 808, 917, 944, 982, 1005</t>
  </si>
  <si>
    <t xml:space="preserve">636, 804, 817, 818, 826, 841, 868, 887, 941</t>
  </si>
  <si>
    <t xml:space="preserve">269, 281, 282, 300, 305, 324, 325, 343, 348, 350, 374, 416, 433, 472, 489, 557, 561, 566, 585, 611, 641, 691, 787, 791, 792, 805, 807, 820, 869, 877, 882, 906, 941, 972, 989, 1000, 1016</t>
  </si>
  <si>
    <t xml:space="preserve">25, 38, 57, 61, 65, 68, 72, 74, 79, 84, 89, 102, 110, 112, 124, 125, 131, 139, 146, 149, 171, 172, 201, 202, 203, 206, 212, 215, 227, 229, 237, 257, 259, 279, 282, 283, 307, 308, 324, 326, 354, 367, 405, 411, 497, 498, 509, 537, 559, 572, 586, 591, 611, 655, 661, 697, 698, 701, 702, 705, 745, 746, 748, 749, 754, 756, 757, 759, 783, 805, 815, 840, 864, 866, 871, 872, 873, 884, 893, 931, 986, 993, 1000, 1014, 1028, 1029, 1036, 1041</t>
  </si>
  <si>
    <t xml:space="preserve">317, 337, 372, 417, 656</t>
  </si>
  <si>
    <t xml:space="preserve">144, 234, 386, 575, 999, 1035</t>
  </si>
  <si>
    <t xml:space="preserve">1004</t>
  </si>
  <si>
    <t xml:space="preserve">28, 34, 145, 709, 770, 776, 809</t>
  </si>
  <si>
    <t xml:space="preserve">3, 25, 65, 91, 92, 93, 94, 103, 104, 117, 121, 206, 209, 253, 268, 289, 296, 297, 304, 321, 365, 366, 396, 397, 398, 399, 424, 425, 435, 438, 445, 465, 475, 479, 488, 509, 530, 537, 550, 567, 592, 599, 616, 653, 654, 681, 743, 756, 831, 837, 893, 894, 895, 957, 987, 1027</t>
  </si>
  <si>
    <t xml:space="preserve">9, 795, 907</t>
  </si>
  <si>
    <t xml:space="preserve">29, 40, 45, 46, 83, 97, 98, 105, 118, 119, 133, 156, 160, 161, 162, 163, 166, 167, 178, 179, 180, 184, 185, 189, 190, 191, 192, 231, 240, 255, 263, 264, 266, 280, 307, 320, 323, 329, 336, 355, 356, 358, 387, 406, 415, 418, 427, 432, 442, 459, 474, 479, 494, 500, 501, 514, 517, 526, 551, 563, 570, 575, 584, 587, 601, 627, 673, 674, 679, 680, 681, 689, 704, 723, 736, 761, 773, 789, 790, 792, 830, 834, 859, 909, 932, 948, 960, 1024, 1031</t>
  </si>
  <si>
    <t xml:space="preserve">1, 2, 88, 93, 290, 328, 403, 508, 515, 536, 540, 571, 579, 580, 625, 709, 719, 766, 838, 865, 949, 967, 969</t>
  </si>
  <si>
    <t xml:space="preserve">232, 298, 313, 341, 435, 726, 739</t>
  </si>
  <si>
    <t xml:space="preserve">265, 581</t>
  </si>
  <si>
    <t xml:space="preserve">765</t>
  </si>
  <si>
    <t xml:space="preserve">401, 478, 630, 799, 800, 956, 971, 1033</t>
  </si>
  <si>
    <t xml:space="preserve">31, 66, 72, 74, 128, 149, 196, 197, 198, 200, 242, 281, 285, 286, 287, 288, 291, 374, 414, 453, 455, 457, 467, 476, 483, 487, 511, 512, 516, 531, 533, 545, 559, 564, 593, 594, 595, 596, 598, 600, 604, 607, 608, 609, 612, 613, 618, 622, 623, 624, 628, 631, 637, 640, 645, 646, 662, 670, 671, 672, 673, 683, 684, 690, 692, 694, 699, 700, 714, 722, 728, 729, 744, 747, 754, 755, 759, 760, 764, 772, 776, 1003</t>
  </si>
  <si>
    <t xml:space="preserve">290, 302, 460, 464, 692, 711, 713, 717, 719, 848, 851, 853, 863, 881, 903, 911, 921, 922, 926, 928, 946, 952, 953, 988, 996, 1020, 1035</t>
  </si>
  <si>
    <t xml:space="preserve">134, 169, 491, 506, 641</t>
  </si>
  <si>
    <t xml:space="preserve">232, 316, 493, 712, 774, 785, 786, 787, 796, 798, 803, 806, 819, 829, 835, 839, 918, 919, 938, 943, 951, 960, 964, 973, 982, 984, 990, 1001, 1022, 1030, 1033, 1044</t>
  </si>
  <si>
    <t xml:space="preserve">310, 573, 781</t>
  </si>
  <si>
    <t xml:space="preserve">140, 210, 306, 339, 359, 368, 406, 416, 422, 454, 461, 468, 470, 481, 484, 518, 519, 524, 532, 536, 551, 566, 578, 606, 648, 675, 725, 733, 746, 763, 777, 794, 808, 818, 824, 827, 844, 859, 889, 892, 896, 899, 908, 911, 913, 914, 954, 958, 968, 976, 980, 997</t>
  </si>
  <si>
    <t xml:space="preserve">99, 173, 187, 199, 486, 687, 698, 767, 944, 955, 985, 988, 1004</t>
  </si>
  <si>
    <t xml:space="preserve">383, 627, 781, 828, 846, 849</t>
  </si>
  <si>
    <t xml:space="preserve">493, 578, 803, 810, 814, 823, 838, 867, 888, 891, 946, 950, 953, 967, 980, 983, 1001, 1013, 1019, 1043, 1044, 1046</t>
  </si>
  <si>
    <t xml:space="preserve">399, 549, 850, 851, 861, 862, 902, 910, 912, 925, 939, 961, 997, 998, 1018, 1023, 1026</t>
  </si>
  <si>
    <t xml:space="preserve">80</t>
  </si>
  <si>
    <t xml:space="preserve">522</t>
  </si>
  <si>
    <t xml:space="preserve">207, 283, 313, 314, 317, 334, 335, 341, 345, 357, 414, 454, 470, 495, 496, 497, 498, 499, 562, 589, 726, 764, 933, 987, 1003</t>
  </si>
  <si>
    <t xml:space="preserve">539, 541</t>
  </si>
  <si>
    <t xml:space="preserve">865, 899, 909, 930, 969</t>
  </si>
  <si>
    <t xml:space="preserve">816</t>
  </si>
  <si>
    <t xml:space="preserve">856, 1017</t>
  </si>
  <si>
    <t xml:space="preserve">1014</t>
  </si>
  <si>
    <t xml:space="preserve">694</t>
  </si>
  <si>
    <t xml:space="preserve">54, 95, 104, 107, 108, 116, 122, 141, 147, 148, 159, 164, 167, 171, 172, 183, 208, 209, 212, 217, 218, 219, 220, 221, 223, 224, 226, 228, 229, 241, 242, 243, 274, 284, 346, 356, 385, 543, 802, 883, 900, 910, 916, 923, 970, 992, 1020</t>
  </si>
  <si>
    <t xml:space="preserve">84, 85, 214, 254, 280, 311, 318, 423, 425, 430, 523, 548, 793, 836, 874, 989</t>
  </si>
  <si>
    <t xml:space="preserve">467, 520, 669, 744, 769</t>
  </si>
  <si>
    <t xml:space="preserve">74, 76, 81, 82, 83, 86, 87, 88, 89, 90, 91, 92, 93, 94, 95, 96, 97, 98, 99, 100, 101, 102, 103, 104, 105, 106, 107, 108, 109, 110, 111, 112, 114, 115, 116, 117, 118, 119, 120, 121, 122, 123, 124, 125, 126, 127, 128, 129, 130, 131, 132, 133, 135, 137, 138, 140, 141, 142, 143, 146, 147, 148, 149, 150, 151, 152, 153, 154, 155, 156, 157, 158, 159, 160, 161, 163, 164, 165, 166, 167, 168, 169, 170, 171, 172, 173, 174, 175, 176, 177, 178, 179, 180, 181, 182, 183, 184, 185, 186, 187, 188, 189, 190, 191, 192, 193, 194, 195, 196, 197, 198, 199, 200, 201, 202, 204, 205, 208, 209, 210, 211, 222, 223, 224, 225, 234, 238, 245, 258, 273, 282, 285, 288, 355, 356, 392, 394, 403, 448, 449, 450, 451, 453, 455, 458, 466, 476, 485, 497, 498, 499, 506, 508, 509, 510, 511, 512, 513, 515, 518, 521, 522, 523, 544, 545, 546, 547, 566, 575, 580, 590, 593, 596, 597, 600, 605, 606, 607, 613, 614, 615, 616, 619, 621, 622, 624, 626, 628, 631, 632, 633, 635, 637, 638, 639, 643, 647, 655, 657, 663, 666, 668, 669, 670, 671, 676, 677, 678, 679, 680, 681, 682, 684, 685, 686, 687, 688, 689, 690, 691, 692, 693, 694, 695, 696, 697, 698, 699, 700, 701, 702, 714, 715, 716, 717, 718, 719, 722, 723, 726, 727, 728, 729, 735, 747, 750, 751, 758, 760, 761, 770, 772, 773, 776, 825, 891, 914, 915</t>
  </si>
  <si>
    <t xml:space="preserve">290, 303, 318, 330, 331, 347, 354, 410, 411, 426, 468, 497, 509, 856, 867, 868, 870, 875, 876, 883, 884, 900, 901, 903, 904, 905, 906, 909, 910, 916, 917, 920, 922, 923, 924, 925, 926, 927, 928, 930, 933, 937, 938, 939, 940, 942, 944, 946, 948, 949, 950, 951, 953, 954, 955, 957, 960, 961, 962, 963, 965, 967, 968, 969, 970, 972, 973, 975, 981, 982, 983, 986, 987, 988, 992, 993, 996, 997, 1004, 1008, 1010, 1012, 1016, 1017, 1018</t>
  </si>
  <si>
    <t xml:space="preserve">788, 789, 790, 791, 793, 794, 795, 797, 804, 805, 806, 807, 808, 815, 818, 820, 821, 822, 829, 831, 834, 836, 837, 838, 841, 867, 869, 870, 871, 874, 875, 878, 879, 880, 881, 882, 883</t>
  </si>
  <si>
    <t xml:space="preserve">313, 314, 315, 341, 342, 343, 370, 376, 377, 396, 397, 398, 463, 478, 481, 483, 493, 507, 521, 532, 534, 547, 555, 576, 585, 588, 627, 641, 658, 746, 763</t>
  </si>
  <si>
    <t xml:space="preserve">374, 405, 406, 468, 472, 528, 529, 530, 531, 549, 568, 569, 570, 571, 572, 577, 578, 579, 617, 731, 732, 745, 746, 755, 757, 759, 762</t>
  </si>
  <si>
    <t xml:space="preserve">75, 224, 270, 284, 287, 441, 442, 456, 470, 474, 581, 605, 606, 613, 631, 632, 640, 643, 645, 647, 648, 657, 754, 761, 764</t>
  </si>
  <si>
    <t xml:space="preserve">62, 63, 65, 66, 67, 68, 69, 70, 71, 72, 73, 499, 581, 615, 618, 625, 655, 699, 731, 738</t>
  </si>
  <si>
    <t xml:space="preserve">268, 475, 488, 490, 516, 535, 536, 583, 587, 595, 642, 644, 645, 648, 664, 665, 755, 756, 765, 766</t>
  </si>
  <si>
    <t xml:space="preserve">289, 292, 293, 297, 324, 325, 327, 334, 335, 336, 339, 345, 369, 432, 433, 435, 477, 480, 812, 1000</t>
  </si>
  <si>
    <t xml:space="preserve">21, 55, 60, 64, 75, 306, 353, 443, 444, 448, 449, 519, 522, 524, 666, 706, 730, 734, 809</t>
  </si>
  <si>
    <t xml:space="preserve">241, 242, 243, 244, 246, 247, 248, 251, 252, 272, 274, 275, 278, 318, 361, 362, 404, 407</t>
  </si>
  <si>
    <t xml:space="preserve">36, 37, 40, 42, 44, 45, 46, 47, 48, 49, 50, 52, 53, 974</t>
  </si>
  <si>
    <t xml:space="preserve">14, 15, 16, 17, 18, 19, 20, 24, 25, 26, 27, 28, 30, 35</t>
  </si>
  <si>
    <t xml:space="preserve">539, 540, 824, 843, 844, 845, 847, 851, 854, 863, 896, 897, 912, 998</t>
  </si>
  <si>
    <t xml:space="preserve">202, 203, 211, 212, 213, 214, 215, 216, 217, 218, 219, 220, 221, 749</t>
  </si>
  <si>
    <t xml:space="preserve">248, 254, 255, 256, 257, 259, 260, 261, 278, 279, 280, 282</t>
  </si>
  <si>
    <t xml:space="preserve">78, 79, 80, 82, 84, 85, 112, 113, 114, 141, 145</t>
  </si>
  <si>
    <t xml:space="preserve">302, 385, 386, 394, 407, 502, 504, 524, 542, 543</t>
  </si>
  <si>
    <t xml:space="preserve">300, 311, 420, 422, 436, 469, 991, 994, 1002</t>
  </si>
  <si>
    <t xml:space="preserve">316, 320, 321, 378, 379, 380, 381, 387, 774</t>
  </si>
  <si>
    <t xml:space="preserve">11, 12, 13, 452, 582, 945, 1032, 1038</t>
  </si>
  <si>
    <t xml:space="preserve">802, 815, 887, 931, 941, 999, 1020, 1046</t>
  </si>
  <si>
    <t xml:space="preserve">454, 486, 487, 513, 533, 719, 1036, 1037</t>
  </si>
  <si>
    <t xml:space="preserve">296, 319, 322, 390, 399, 462, 558, 601</t>
  </si>
  <si>
    <t xml:space="preserve">307, 308, 309, 859, 860, 861, 862</t>
  </si>
  <si>
    <t xml:space="preserve">595, 624, 698, 716, 744, 750, 757</t>
  </si>
  <si>
    <t xml:space="preserve">344, 437, 441, 553, 568, 667, 721</t>
  </si>
  <si>
    <t xml:space="preserve">371, 520, 536, 742, 768, 1019</t>
  </si>
  <si>
    <t xml:space="preserve">207, 464, 473, 704, 777, 971</t>
  </si>
  <si>
    <t xml:space="preserve">494, 672, 673, 674, 675, 736</t>
  </si>
  <si>
    <t xml:space="preserve">328, 409, 589, 864, 1041, 1042</t>
  </si>
  <si>
    <t xml:space="preserve">434, 561, 563, 564, 1011, 1045</t>
  </si>
  <si>
    <t xml:space="preserve">332, 338, 461, 471, 529, 659</t>
  </si>
  <si>
    <t xml:space="preserve">602, 803, 827, 1007, 1044</t>
  </si>
  <si>
    <t xml:space="preserve">591, 592, 599, 636, 641</t>
  </si>
  <si>
    <t xml:space="preserve">608, 609, 610, 611, 612</t>
  </si>
  <si>
    <t xml:space="preserve">19, 20, 143, 352, 504</t>
  </si>
  <si>
    <t xml:space="preserve">893, 894, 895, 933, 965</t>
  </si>
  <si>
    <t xml:space="preserve">427, 562, 798, 830, 932</t>
  </si>
  <si>
    <t xml:space="preserve">417, 872, 873, 918, 990</t>
  </si>
  <si>
    <t xml:space="preserve">22, 29, 31, 32</t>
  </si>
  <si>
    <t xml:space="preserve">All</t>
  </si>
  <si>
    <t xml:space="preserve">233, 814, 846, 892</t>
  </si>
  <si>
    <t xml:space="preserve">348, 491, 492, 724</t>
  </si>
  <si>
    <t xml:space="preserve">360, 725, 889, 913</t>
  </si>
  <si>
    <t xml:space="preserve">363, 649, 650, 651</t>
  </si>
  <si>
    <t xml:space="preserve">249, 250, 276, 277</t>
  </si>
  <si>
    <t xml:space="preserve">227, 228, 229, 230</t>
  </si>
  <si>
    <t xml:space="preserve">268, 269, 488, 489</t>
  </si>
  <si>
    <t xml:space="preserve">337, 359, 372, 393</t>
  </si>
  <si>
    <t xml:space="preserve">2, 7, 8, 9</t>
  </si>
  <si>
    <t xml:space="preserve">57, 58, 59, 61</t>
  </si>
  <si>
    <t xml:space="preserve">633, 634, 977, 978</t>
  </si>
  <si>
    <t xml:space="preserve">4, 5, 6, 7</t>
  </si>
  <si>
    <t xml:space="preserve">40, 41, 45, 46</t>
  </si>
  <si>
    <t xml:space="preserve">305, 412, 527, 660</t>
  </si>
  <si>
    <t xml:space="preserve">839, 886, 887, 888</t>
  </si>
  <si>
    <t xml:space="preserve">908, 915, 979, 1034</t>
  </si>
  <si>
    <t xml:space="preserve">The fatherless</t>
  </si>
  <si>
    <t xml:space="preserve">162, 300, 349, 656</t>
  </si>
  <si>
    <t xml:space="preserve">Aaron</t>
  </si>
  <si>
    <t xml:space="preserve">85, 134, 139</t>
  </si>
  <si>
    <t xml:space="preserve">459, 707, 865</t>
  </si>
  <si>
    <t xml:space="preserve">552, 849, 850</t>
  </si>
  <si>
    <t xml:space="preserve">806, 819, 835</t>
  </si>
  <si>
    <t xml:space="preserve">796, 833, 1014</t>
  </si>
  <si>
    <t xml:space="preserve">33, 34, 51</t>
  </si>
  <si>
    <t xml:space="preserve">447, 765, 766</t>
  </si>
  <si>
    <t xml:space="preserve">Joseph</t>
  </si>
  <si>
    <t xml:space="preserve">74, 764, 777</t>
  </si>
  <si>
    <t xml:space="preserve">277, 362, 451</t>
  </si>
  <si>
    <t xml:space="preserve">569, 769, 934</t>
  </si>
  <si>
    <t xml:space="preserve">The blind</t>
  </si>
  <si>
    <t xml:space="preserve">469, 505, 507</t>
  </si>
  <si>
    <t xml:space="preserve">581, 823, 966</t>
  </si>
  <si>
    <t xml:space="preserve">333, 743, 780</t>
  </si>
  <si>
    <t xml:space="preserve">The poor</t>
  </si>
  <si>
    <t xml:space="preserve">350, 391, 412</t>
  </si>
  <si>
    <t xml:space="preserve">301, 500, 501</t>
  </si>
  <si>
    <t xml:space="preserve">358, 389, 425</t>
  </si>
  <si>
    <t xml:space="preserve">902, 921, 929</t>
  </si>
  <si>
    <t xml:space="preserve">299, 323, 984</t>
  </si>
  <si>
    <t xml:space="preserve">304, 438, 739</t>
  </si>
  <si>
    <t xml:space="preserve">Widows</t>
  </si>
  <si>
    <t xml:space="preserve">162, 349, 656</t>
  </si>
  <si>
    <t xml:space="preserve">39, 54</t>
  </si>
  <si>
    <t xml:space="preserve">554, 811</t>
  </si>
  <si>
    <t xml:space="preserve">440, 541</t>
  </si>
  <si>
    <t xml:space="preserve">852, 853</t>
  </si>
  <si>
    <t xml:space="preserve">253, 295</t>
  </si>
  <si>
    <t xml:space="preserve">709, 710</t>
  </si>
  <si>
    <t xml:space="preserve">457, 458</t>
  </si>
  <si>
    <t xml:space="preserve">Eli</t>
  </si>
  <si>
    <t xml:space="preserve">233, 234</t>
  </si>
  <si>
    <t xml:space="preserve">264, 265</t>
  </si>
  <si>
    <t xml:space="preserve">Gentiles</t>
  </si>
  <si>
    <t xml:space="preserve">453, 502</t>
  </si>
  <si>
    <t xml:space="preserve">661, 662</t>
  </si>
  <si>
    <t xml:space="preserve">604, 623</t>
  </si>
  <si>
    <t xml:space="preserve">290, 291</t>
  </si>
  <si>
    <t xml:space="preserve">825, 826</t>
  </si>
  <si>
    <t xml:space="preserve">Priests</t>
  </si>
  <si>
    <t xml:space="preserve">139, 627</t>
  </si>
  <si>
    <t xml:space="preserve">Prisoners</t>
  </si>
  <si>
    <t xml:space="preserve">505, 525</t>
  </si>
  <si>
    <t xml:space="preserve">237, 239</t>
  </si>
  <si>
    <t xml:space="preserve">350, 430</t>
  </si>
  <si>
    <t xml:space="preserve">388, 402</t>
  </si>
  <si>
    <t xml:space="preserve">351, 352</t>
  </si>
  <si>
    <t xml:space="preserve">The Servant</t>
  </si>
  <si>
    <t xml:space="preserve">525, 538</t>
  </si>
  <si>
    <t xml:space="preserve">326, 419</t>
  </si>
  <si>
    <t xml:space="preserve">503, 801</t>
  </si>
  <si>
    <t xml:space="preserve">559, 586</t>
  </si>
  <si>
    <t xml:space="preserve">317, 1022</t>
  </si>
  <si>
    <t xml:space="preserve">312, 544</t>
  </si>
  <si>
    <t xml:space="preserve">959, 1006</t>
  </si>
  <si>
    <t xml:space="preserve">429, 741</t>
  </si>
  <si>
    <t xml:space="preserve">898, 899</t>
  </si>
  <si>
    <t xml:space="preserve">The land</t>
  </si>
  <si>
    <t xml:space="preserve">483, 703</t>
  </si>
  <si>
    <t xml:space="preserve">542, 813</t>
  </si>
  <si>
    <t xml:space="preserve">367, 368</t>
  </si>
  <si>
    <t xml:space="preserve">298, 418</t>
  </si>
  <si>
    <t xml:space="preserve">785, 956</t>
  </si>
  <si>
    <t xml:space="preserve">787, 947</t>
  </si>
  <si>
    <t xml:space="preserve">310, 783</t>
  </si>
  <si>
    <t xml:space="preserve">737, 752</t>
  </si>
  <si>
    <t xml:space="preserve">799, 800</t>
  </si>
  <si>
    <t xml:space="preserve">792, 832</t>
  </si>
  <si>
    <t xml:space="preserve">567, 775</t>
  </si>
  <si>
    <t xml:space="preserve">749, 753</t>
  </si>
  <si>
    <t xml:space="preserve">877</t>
  </si>
  <si>
    <t xml:space="preserve">43</t>
  </si>
  <si>
    <t xml:space="preserve">38</t>
  </si>
  <si>
    <t xml:space="preserve">Abraham's line</t>
  </si>
  <si>
    <t xml:space="preserve">738</t>
  </si>
  <si>
    <t xml:space="preserve">56</t>
  </si>
  <si>
    <t xml:space="preserve">23</t>
  </si>
  <si>
    <t xml:space="preserve">460</t>
  </si>
  <si>
    <t xml:space="preserve">413</t>
  </si>
  <si>
    <t xml:space="preserve">620</t>
  </si>
  <si>
    <t xml:space="preserve">943</t>
  </si>
  <si>
    <t xml:space="preserve">373</t>
  </si>
  <si>
    <t xml:space="preserve">936</t>
  </si>
  <si>
    <t xml:space="preserve">All life</t>
  </si>
  <si>
    <t xml:space="preserve">703</t>
  </si>
  <si>
    <t xml:space="preserve">415</t>
  </si>
  <si>
    <t xml:space="preserve">848</t>
  </si>
  <si>
    <t xml:space="preserve">810</t>
  </si>
  <si>
    <t xml:space="preserve">989</t>
  </si>
  <si>
    <t xml:space="preserve">911</t>
  </si>
  <si>
    <t xml:space="preserve">733</t>
  </si>
  <si>
    <t xml:space="preserve">All who fear Him</t>
  </si>
  <si>
    <t xml:space="preserve">392</t>
  </si>
  <si>
    <t xml:space="preserve">855</t>
  </si>
  <si>
    <t xml:space="preserve">858</t>
  </si>
  <si>
    <t xml:space="preserve">1043</t>
  </si>
  <si>
    <t xml:space="preserve">All who love Him</t>
  </si>
  <si>
    <t xml:space="preserve">100</t>
  </si>
  <si>
    <t xml:space="preserve">964</t>
  </si>
  <si>
    <t xml:space="preserve">All who open</t>
  </si>
  <si>
    <t xml:space="preserve">1029</t>
  </si>
  <si>
    <t xml:space="preserve">842</t>
  </si>
  <si>
    <t xml:space="preserve">551</t>
  </si>
  <si>
    <t xml:space="preserve">890</t>
  </si>
  <si>
    <t xml:space="preserve">857</t>
  </si>
  <si>
    <t xml:space="preserve">283</t>
  </si>
  <si>
    <t xml:space="preserve">603</t>
  </si>
  <si>
    <t xml:space="preserve">Asher</t>
  </si>
  <si>
    <t xml:space="preserve">207</t>
  </si>
  <si>
    <t xml:space="preserve">Assyria</t>
  </si>
  <si>
    <t xml:space="preserve">458</t>
  </si>
  <si>
    <t xml:space="preserve">594</t>
  </si>
  <si>
    <t xml:space="preserve">Balak</t>
  </si>
  <si>
    <t xml:space="preserve">142</t>
  </si>
  <si>
    <t xml:space="preserve">226</t>
  </si>
  <si>
    <t xml:space="preserve">654</t>
  </si>
  <si>
    <t xml:space="preserve">952</t>
  </si>
  <si>
    <t xml:space="preserve">935</t>
  </si>
  <si>
    <t xml:space="preserve">Benjamin</t>
  </si>
  <si>
    <t xml:space="preserve">206</t>
  </si>
  <si>
    <t xml:space="preserve">408</t>
  </si>
  <si>
    <t xml:space="preserve">3</t>
  </si>
  <si>
    <t xml:space="preserve">136</t>
  </si>
  <si>
    <t xml:space="preserve">Children</t>
  </si>
  <si>
    <t xml:space="preserve">942</t>
  </si>
  <si>
    <t xml:space="preserve">1013</t>
  </si>
  <si>
    <t xml:space="preserve">Christ</t>
  </si>
  <si>
    <t xml:space="preserve">945</t>
  </si>
  <si>
    <t xml:space="preserve">382</t>
  </si>
  <si>
    <t xml:space="preserve">517</t>
  </si>
  <si>
    <t xml:space="preserve">713</t>
  </si>
  <si>
    <t xml:space="preserve">1005</t>
  </si>
  <si>
    <t xml:space="preserve">652</t>
  </si>
  <si>
    <t xml:space="preserve">Edom</t>
  </si>
  <si>
    <t xml:space="preserve">730</t>
  </si>
  <si>
    <t xml:space="preserve">629</t>
  </si>
  <si>
    <t xml:space="preserve">556</t>
  </si>
  <si>
    <t xml:space="preserve">1001</t>
  </si>
  <si>
    <t xml:space="preserve">557</t>
  </si>
  <si>
    <t xml:space="preserve">885</t>
  </si>
  <si>
    <t xml:space="preserve">Gentiles (per Romans 9)</t>
  </si>
  <si>
    <t xml:space="preserve">714</t>
  </si>
  <si>
    <t xml:space="preserve">364</t>
  </si>
  <si>
    <t xml:space="preserve">985</t>
  </si>
  <si>
    <t xml:space="preserve">919</t>
  </si>
  <si>
    <t xml:space="preserve">740</t>
  </si>
  <si>
    <t xml:space="preserve">Her children</t>
  </si>
  <si>
    <t xml:space="preserve">587</t>
  </si>
  <si>
    <t xml:space="preserve">401</t>
  </si>
  <si>
    <t xml:space="preserve">584</t>
  </si>
  <si>
    <t xml:space="preserve">465</t>
  </si>
  <si>
    <t xml:space="preserve">446</t>
  </si>
  <si>
    <t xml:space="preserve">281</t>
  </si>
  <si>
    <t xml:space="preserve">77</t>
  </si>
  <si>
    <t xml:space="preserve">514</t>
  </si>
  <si>
    <t xml:space="preserve">467</t>
  </si>
  <si>
    <t xml:space="preserve">771</t>
  </si>
  <si>
    <t xml:space="preserve">Jehoshaphat</t>
  </si>
  <si>
    <t xml:space="preserve">284</t>
  </si>
  <si>
    <t xml:space="preserve">267</t>
  </si>
  <si>
    <t xml:space="preserve">262</t>
  </si>
  <si>
    <t xml:space="preserve">1020</t>
  </si>
  <si>
    <t xml:space="preserve">Joshua the priest</t>
  </si>
  <si>
    <t xml:space="preserve">758</t>
  </si>
  <si>
    <t xml:space="preserve">271</t>
  </si>
  <si>
    <t xml:space="preserve">646</t>
  </si>
  <si>
    <t xml:space="preserve">598</t>
  </si>
  <si>
    <t xml:space="preserve">653</t>
  </si>
  <si>
    <t xml:space="preserve">Laodicea</t>
  </si>
  <si>
    <t xml:space="preserve">Levites</t>
  </si>
  <si>
    <t xml:space="preserve">650</t>
  </si>
  <si>
    <t xml:space="preserve">286</t>
  </si>
  <si>
    <t xml:space="preserve">231</t>
  </si>
  <si>
    <t xml:space="preserve">Many nations</t>
  </si>
  <si>
    <t xml:space="preserve">538</t>
  </si>
  <si>
    <t xml:space="preserve">Miriam</t>
  </si>
  <si>
    <t xml:space="preserve">134</t>
  </si>
  <si>
    <t xml:space="preserve">10</t>
  </si>
  <si>
    <t xml:space="preserve">1040</t>
  </si>
  <si>
    <t xml:space="preserve">1021</t>
  </si>
  <si>
    <t xml:space="preserve">1030</t>
  </si>
  <si>
    <t xml:space="preserve">1024</t>
  </si>
  <si>
    <t xml:space="preserve">1028</t>
  </si>
  <si>
    <t xml:space="preserve">1026</t>
  </si>
  <si>
    <t xml:space="preserve">1023</t>
  </si>
  <si>
    <t xml:space="preserve">1025</t>
  </si>
  <si>
    <t xml:space="preserve">1035</t>
  </si>
  <si>
    <t xml:space="preserve">784</t>
  </si>
  <si>
    <t xml:space="preserve">866</t>
  </si>
  <si>
    <t xml:space="preserve">Pharaoh</t>
  </si>
  <si>
    <t xml:space="preserve">91</t>
  </si>
  <si>
    <t xml:space="preserve">Philadelphia</t>
  </si>
  <si>
    <t xml:space="preserve">1027</t>
  </si>
  <si>
    <t xml:space="preserve">144</t>
  </si>
  <si>
    <t xml:space="preserve">357</t>
  </si>
  <si>
    <t xml:space="preserve">Rachel</t>
  </si>
  <si>
    <t xml:space="preserve">628</t>
  </si>
  <si>
    <t xml:space="preserve">749</t>
  </si>
  <si>
    <t xml:space="preserve">720</t>
  </si>
  <si>
    <t xml:space="preserve">232</t>
  </si>
  <si>
    <t xml:space="preserve">565</t>
  </si>
  <si>
    <t xml:space="preserve">266</t>
  </si>
  <si>
    <t xml:space="preserve">240</t>
  </si>
  <si>
    <t xml:space="preserve">235</t>
  </si>
  <si>
    <t xml:space="preserve">236</t>
  </si>
  <si>
    <t xml:space="preserve">431</t>
  </si>
  <si>
    <t xml:space="preserve">550</t>
  </si>
  <si>
    <t xml:space="preserve">958</t>
  </si>
  <si>
    <t xml:space="preserve">Smyrna</t>
  </si>
  <si>
    <t xml:space="preserve">1022</t>
  </si>
  <si>
    <t xml:space="preserve">Strangers</t>
  </si>
  <si>
    <t xml:space="preserve">162</t>
  </si>
  <si>
    <t xml:space="preserve">1003</t>
  </si>
  <si>
    <t xml:space="preserve">The Levites</t>
  </si>
  <si>
    <t xml:space="preserve">651</t>
  </si>
  <si>
    <t xml:space="preserve">294</t>
  </si>
  <si>
    <t xml:space="preserve">The Philippian jailer</t>
  </si>
  <si>
    <t xml:space="preserve">892</t>
  </si>
  <si>
    <t xml:space="preserve">The Samaritan woman</t>
  </si>
  <si>
    <t xml:space="preserve">846</t>
  </si>
  <si>
    <t xml:space="preserve">The Sanhedrin</t>
  </si>
  <si>
    <t xml:space="preserve">814</t>
  </si>
  <si>
    <t xml:space="preserve">The Son of Man</t>
  </si>
  <si>
    <t xml:space="preserve">707</t>
  </si>
  <si>
    <t xml:space="preserve">The barren</t>
  </si>
  <si>
    <t xml:space="preserve">391</t>
  </si>
  <si>
    <t xml:space="preserve">817</t>
  </si>
  <si>
    <t xml:space="preserve">The beloved</t>
  </si>
  <si>
    <t xml:space="preserve">705</t>
  </si>
  <si>
    <t xml:space="preserve">1009</t>
  </si>
  <si>
    <t xml:space="preserve">711</t>
  </si>
  <si>
    <t xml:space="preserve">The deaf</t>
  </si>
  <si>
    <t xml:space="preserve">469</t>
  </si>
  <si>
    <t xml:space="preserve">The destitute</t>
  </si>
  <si>
    <t xml:space="preserve">374</t>
  </si>
  <si>
    <t xml:space="preserve">384</t>
  </si>
  <si>
    <t xml:space="preserve">The faint</t>
  </si>
  <si>
    <t xml:space="preserve">503</t>
  </si>
  <si>
    <t xml:space="preserve">414</t>
  </si>
  <si>
    <t xml:space="preserve">484</t>
  </si>
  <si>
    <t xml:space="preserve">The hoping</t>
  </si>
  <si>
    <t xml:space="preserve">403</t>
  </si>
  <si>
    <t xml:space="preserve">828</t>
  </si>
  <si>
    <t xml:space="preserve">781</t>
  </si>
  <si>
    <t xml:space="preserve">424</t>
  </si>
  <si>
    <t xml:space="preserve">The lonely</t>
  </si>
  <si>
    <t xml:space="preserve">349</t>
  </si>
  <si>
    <t xml:space="preserve">383</t>
  </si>
  <si>
    <t xml:space="preserve">782</t>
  </si>
  <si>
    <t xml:space="preserve">683</t>
  </si>
  <si>
    <t xml:space="preserve">The nations (per Acts 15)</t>
  </si>
  <si>
    <t xml:space="preserve">728</t>
  </si>
  <si>
    <t xml:space="preserve">560</t>
  </si>
  <si>
    <t xml:space="preserve">The persevering</t>
  </si>
  <si>
    <t xml:space="preserve">574</t>
  </si>
  <si>
    <t xml:space="preserve">778</t>
  </si>
  <si>
    <t xml:space="preserve">The praying church</t>
  </si>
  <si>
    <t xml:space="preserve">995</t>
  </si>
  <si>
    <t xml:space="preserve">346</t>
  </si>
  <si>
    <t xml:space="preserve">1031</t>
  </si>
  <si>
    <t xml:space="preserve">767</t>
  </si>
  <si>
    <t xml:space="preserve">840</t>
  </si>
  <si>
    <t xml:space="preserve">748</t>
  </si>
  <si>
    <t xml:space="preserve">537</t>
  </si>
  <si>
    <t xml:space="preserve">526</t>
  </si>
  <si>
    <t xml:space="preserve">479</t>
  </si>
  <si>
    <t xml:space="preserve">708</t>
  </si>
  <si>
    <t xml:space="preserve">786</t>
  </si>
  <si>
    <t xml:space="preserve">The seventy</t>
  </si>
  <si>
    <t xml:space="preserve">831</t>
  </si>
  <si>
    <t xml:space="preserve">The sick</t>
  </si>
  <si>
    <t xml:space="preserve">423</t>
  </si>
  <si>
    <t xml:space="preserve">The sowing</t>
  </si>
  <si>
    <t xml:space="preserve">400</t>
  </si>
  <si>
    <t xml:space="preserve">1039</t>
  </si>
  <si>
    <t xml:space="preserve">The unjust</t>
  </si>
  <si>
    <t xml:space="preserve">1006</t>
  </si>
  <si>
    <t xml:space="preserve">The vulnerable</t>
  </si>
  <si>
    <t xml:space="preserve">418</t>
  </si>
  <si>
    <t xml:space="preserve">495</t>
  </si>
  <si>
    <t xml:space="preserve">630</t>
  </si>
  <si>
    <t xml:space="preserve">The wicked</t>
  </si>
  <si>
    <t xml:space="preserve">429</t>
  </si>
  <si>
    <t xml:space="preserve">712</t>
  </si>
  <si>
    <t xml:space="preserve">The world</t>
  </si>
  <si>
    <t xml:space="preserve">844</t>
  </si>
  <si>
    <t xml:space="preserve">366</t>
  </si>
  <si>
    <t xml:space="preserve">416</t>
  </si>
  <si>
    <t xml:space="preserve">1033</t>
  </si>
  <si>
    <t xml:space="preserve">365</t>
  </si>
  <si>
    <t xml:space="preserve">439</t>
  </si>
  <si>
    <t xml:space="preserve">1015</t>
  </si>
  <si>
    <t xml:space="preserve">340</t>
  </si>
  <si>
    <t xml:space="preserve">421</t>
  </si>
  <si>
    <t xml:space="preserve">428</t>
  </si>
  <si>
    <t xml:space="preserve">907</t>
  </si>
  <si>
    <t xml:space="preserve">395</t>
  </si>
  <si>
    <t xml:space="preserve">779</t>
  </si>
  <si>
    <t xml:space="preserve">329</t>
  </si>
  <si>
    <t xml:space="preserve">980</t>
  </si>
  <si>
    <t xml:space="preserve">496</t>
  </si>
  <si>
    <t xml:space="preserve">263</t>
  </si>
  <si>
    <t xml:space="preserve">548</t>
  </si>
  <si>
    <t xml:space="preserve">482</t>
  </si>
  <si>
    <t xml:space="preserve">573</t>
  </si>
  <si>
    <t xml:space="preserve">445</t>
  </si>
  <si>
    <t xml:space="preserve">weeping</t>
  </si>
  <si>
    <t xml:space="preserve">THE COMPLETE INDEX OF GOD'S PROMISES IN SCRIPTURE — Combined Edition (Volumes 1 + 2)</t>
  </si>
  <si>
    <t xml:space="preserve">Total entries: 1046. Volume 1 laid the canonical spine (whole-promise granularity, all 66 books). Volume 2 added four expansion sweeps at clause-level granularity: Psalms exhaustive, Isaiah 40–66 clause-split, Deuteronomy 28 blessing-by-blessing, and the Jeremiah/Ezekiel restoration oracles. The 'Vol' column marks each entry's origin.</t>
  </si>
  <si>
    <t xml:space="preserve">Deuteronomy 28 note: Volume 1's block entries (28:3-6, 28:8, 28:11-12, 28:13) were superseded by their clause-split children per the counting rules — no double counting.</t>
  </si>
  <si>
    <t xml:space="preserve">Verification: every reference machine-checked against the full KJV text (public domain) for chapter:verse existence; content spot-checked for fidelity. Conditional = attached to stated human response. Unconditional = grounded solely in God's character, oath, or covenant.</t>
  </si>
  <si>
    <t xml:space="preserve">Books containing no direct divine promise: Esther, Song of Solomon, Philemon, 3 John.</t>
  </si>
  <si>
    <t xml:space="preserve">Dark red = Cross-landing entries (Messiah, atonement, substitution, resurrection, new covenant, salvation, justification). All the promises of God find their Yes in Christ Jesus — 2 Corinthians 1:20.</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</si>
</sst>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Georgia"/>
      <family val="0"/>
      <charset val="1"/>
    </font>
    <font>
      <sz val="9"/>
      <name val="Georgia"/>
      <family val="0"/>
      <charset val="1"/>
    </font>
    <font>
      <b val="true"/>
      <sz val="9"/>
      <color rgb="FF8B0000"/>
      <name val="Georgia"/>
      <family val="0"/>
      <charset val="1"/>
    </font>
    <font>
      <b val="true"/>
      <sz val="9"/>
      <name val="Georgia"/>
      <family val="0"/>
      <charset val="1"/>
    </font>
    <font>
      <b val="true"/>
      <sz val="10"/>
      <color rgb="FF1A2A4A"/>
      <name val="Georgia"/>
      <family val="0"/>
      <charset val="1"/>
    </font>
    <font>
      <sz val="10"/>
      <color rgb="FF000000"/>
      <name val="Georgia"/>
      <family val="0"/>
      <charset val="1"/>
    </font>
  </fonts>
  <fills count="3">
    <fill>
      <patternFill patternType="none"/>
    </fill>
    <fill>
      <patternFill patternType="gray125"/>
    </fill>
    <fill>
      <patternFill patternType="solid">
        <fgColor rgb="FF1A2A4A"/>
        <bgColor rgb="FF003366"/>
      </patternFill>
    </fill>
  </fills>
  <borders count="2">
    <border diagonalUp="false" diagonalDown="false">
      <left/>
      <right/>
      <top/>
      <bottom/>
      <diagonal/>
    </border>
    <border diagonalUp="false" diagonalDown="false">
      <left/>
      <right/>
      <top/>
      <bottom style="hair">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A2A4A"/>
          <bgColor rgb="FF000000"/>
        </patternFill>
      </fill>
    </dxf>
    <dxf>
      <fill>
        <patternFill patternType="solid">
          <bgColor rgb="FF000000"/>
        </patternFill>
      </fill>
    </dxf>
    <dxf>
      <fill>
        <patternFill patternType="solid">
          <fgColor rgb="FFFFFFFF"/>
          <bgColor rgb="FF000000"/>
        </patternFill>
      </fill>
    </dxf>
    <dxf>
      <fill>
        <patternFill patternType="solid">
          <fgColor rgb="FF8B0000"/>
          <bgColor rgb="FF000000"/>
        </patternFill>
      </fill>
    </dxf>
  </dxf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0"/>
    <col collapsed="false" customWidth="true" hidden="false" outlineLevel="0" max="3" min="3" style="0" width="18"/>
    <col collapsed="false" customWidth="true" hidden="false" outlineLevel="0" max="4" min="4" style="0" width="24"/>
    <col collapsed="false" customWidth="true" hidden="false" outlineLevel="0" max="6" min="5" style="0" width="26"/>
    <col collapsed="false" customWidth="true" hidden="false" outlineLevel="0" max="7" min="7" style="0" width="14"/>
    <col collapsed="false" customWidth="true" hidden="false" outlineLevel="0" max="8" min="8" style="0" width="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n">
        <v>1</v>
      </c>
      <c r="B2" s="3" t="s">
        <v>8</v>
      </c>
      <c r="C2" s="2" t="s">
        <v>9</v>
      </c>
      <c r="D2" s="2" t="s">
        <v>10</v>
      </c>
      <c r="E2" s="2" t="s">
        <v>11</v>
      </c>
      <c r="F2" s="4" t="s">
        <v>12</v>
      </c>
      <c r="G2" s="2" t="s">
        <v>13</v>
      </c>
      <c r="H2" s="2" t="s">
        <v>14</v>
      </c>
    </row>
    <row r="3" customFormat="false" ht="15" hidden="false" customHeight="false" outlineLevel="0" collapsed="false">
      <c r="A3" s="2" t="n">
        <v>2</v>
      </c>
      <c r="B3" s="3" t="s">
        <v>15</v>
      </c>
      <c r="C3" s="2" t="s">
        <v>9</v>
      </c>
      <c r="D3" s="2" t="s">
        <v>10</v>
      </c>
      <c r="E3" s="2" t="s">
        <v>16</v>
      </c>
      <c r="F3" s="4" t="s">
        <v>17</v>
      </c>
      <c r="G3" s="2" t="s">
        <v>13</v>
      </c>
      <c r="H3" s="2" t="s">
        <v>14</v>
      </c>
    </row>
    <row r="4" customFormat="false" ht="15" hidden="false" customHeight="false" outlineLevel="0" collapsed="false">
      <c r="A4" s="2" t="n">
        <v>3</v>
      </c>
      <c r="B4" s="5" t="s">
        <v>18</v>
      </c>
      <c r="C4" s="2" t="s">
        <v>19</v>
      </c>
      <c r="D4" s="2" t="s">
        <v>10</v>
      </c>
      <c r="E4" s="2" t="s">
        <v>20</v>
      </c>
      <c r="F4" s="2" t="s">
        <v>21</v>
      </c>
      <c r="G4" s="2" t="s">
        <v>13</v>
      </c>
      <c r="H4" s="2" t="s">
        <v>14</v>
      </c>
    </row>
    <row r="5" customFormat="false" ht="15" hidden="false" customHeight="false" outlineLevel="0" collapsed="false">
      <c r="A5" s="2" t="n">
        <v>4</v>
      </c>
      <c r="B5" s="5" t="s">
        <v>22</v>
      </c>
      <c r="C5" s="2" t="s">
        <v>23</v>
      </c>
      <c r="D5" s="2" t="s">
        <v>10</v>
      </c>
      <c r="E5" s="2" t="s">
        <v>24</v>
      </c>
      <c r="F5" s="2" t="s">
        <v>25</v>
      </c>
      <c r="G5" s="2" t="s">
        <v>13</v>
      </c>
      <c r="H5" s="2" t="s">
        <v>14</v>
      </c>
    </row>
    <row r="6" customFormat="false" ht="15" hidden="false" customHeight="false" outlineLevel="0" collapsed="false">
      <c r="A6" s="2" t="n">
        <v>5</v>
      </c>
      <c r="B6" s="5" t="s">
        <v>26</v>
      </c>
      <c r="C6" s="2" t="s">
        <v>23</v>
      </c>
      <c r="D6" s="2" t="s">
        <v>10</v>
      </c>
      <c r="E6" s="2" t="s">
        <v>24</v>
      </c>
      <c r="F6" s="2" t="s">
        <v>27</v>
      </c>
      <c r="G6" s="2" t="s">
        <v>28</v>
      </c>
      <c r="H6" s="2" t="s">
        <v>14</v>
      </c>
    </row>
    <row r="7" customFormat="false" ht="22.35" hidden="false" customHeight="false" outlineLevel="0" collapsed="false">
      <c r="A7" s="2" t="n">
        <v>6</v>
      </c>
      <c r="B7" s="5" t="s">
        <v>29</v>
      </c>
      <c r="C7" s="2" t="s">
        <v>30</v>
      </c>
      <c r="D7" s="2" t="s">
        <v>10</v>
      </c>
      <c r="E7" s="2" t="s">
        <v>24</v>
      </c>
      <c r="F7" s="2" t="s">
        <v>31</v>
      </c>
      <c r="G7" s="2" t="s">
        <v>13</v>
      </c>
      <c r="H7" s="2" t="s">
        <v>14</v>
      </c>
    </row>
    <row r="8" customFormat="false" ht="15" hidden="false" customHeight="false" outlineLevel="0" collapsed="false">
      <c r="A8" s="2" t="n">
        <v>7</v>
      </c>
      <c r="B8" s="5" t="s">
        <v>32</v>
      </c>
      <c r="C8" s="2" t="s">
        <v>33</v>
      </c>
      <c r="D8" s="2" t="s">
        <v>10</v>
      </c>
      <c r="E8" s="2" t="s">
        <v>34</v>
      </c>
      <c r="F8" s="2" t="s">
        <v>35</v>
      </c>
      <c r="G8" s="2" t="s">
        <v>13</v>
      </c>
      <c r="H8" s="2" t="s">
        <v>14</v>
      </c>
    </row>
    <row r="9" customFormat="false" ht="15" hidden="false" customHeight="false" outlineLevel="0" collapsed="false">
      <c r="A9" s="2" t="n">
        <v>8</v>
      </c>
      <c r="B9" s="5" t="s">
        <v>36</v>
      </c>
      <c r="C9" s="2" t="s">
        <v>33</v>
      </c>
      <c r="D9" s="2" t="s">
        <v>10</v>
      </c>
      <c r="E9" s="2" t="s">
        <v>16</v>
      </c>
      <c r="F9" s="2" t="s">
        <v>35</v>
      </c>
      <c r="G9" s="2" t="s">
        <v>13</v>
      </c>
      <c r="H9" s="2" t="s">
        <v>14</v>
      </c>
    </row>
    <row r="10" customFormat="false" ht="22.35" hidden="false" customHeight="false" outlineLevel="0" collapsed="false">
      <c r="A10" s="2" t="n">
        <v>9</v>
      </c>
      <c r="B10" s="5" t="s">
        <v>37</v>
      </c>
      <c r="C10" s="2" t="s">
        <v>38</v>
      </c>
      <c r="D10" s="2" t="s">
        <v>10</v>
      </c>
      <c r="E10" s="2" t="s">
        <v>16</v>
      </c>
      <c r="F10" s="2" t="s">
        <v>39</v>
      </c>
      <c r="G10" s="2" t="s">
        <v>13</v>
      </c>
      <c r="H10" s="2" t="s">
        <v>14</v>
      </c>
    </row>
    <row r="11" customFormat="false" ht="15" hidden="false" customHeight="false" outlineLevel="0" collapsed="false">
      <c r="A11" s="2" t="n">
        <v>10</v>
      </c>
      <c r="B11" s="5" t="s">
        <v>40</v>
      </c>
      <c r="C11" s="2" t="s">
        <v>41</v>
      </c>
      <c r="D11" s="2" t="s">
        <v>10</v>
      </c>
      <c r="E11" s="2" t="s">
        <v>42</v>
      </c>
      <c r="F11" s="2" t="s">
        <v>25</v>
      </c>
      <c r="G11" s="2" t="s">
        <v>13</v>
      </c>
      <c r="H11" s="2" t="s">
        <v>14</v>
      </c>
    </row>
    <row r="12" customFormat="false" ht="15" hidden="false" customHeight="false" outlineLevel="0" collapsed="false">
      <c r="A12" s="2" t="n">
        <v>11</v>
      </c>
      <c r="B12" s="5" t="s">
        <v>43</v>
      </c>
      <c r="C12" s="2" t="s">
        <v>44</v>
      </c>
      <c r="D12" s="2" t="s">
        <v>10</v>
      </c>
      <c r="E12" s="2" t="s">
        <v>45</v>
      </c>
      <c r="F12" s="2" t="s">
        <v>25</v>
      </c>
      <c r="G12" s="2" t="s">
        <v>13</v>
      </c>
      <c r="H12" s="2" t="s">
        <v>14</v>
      </c>
    </row>
    <row r="13" customFormat="false" ht="15" hidden="false" customHeight="false" outlineLevel="0" collapsed="false">
      <c r="A13" s="2" t="n">
        <v>12</v>
      </c>
      <c r="B13" s="5" t="s">
        <v>46</v>
      </c>
      <c r="C13" s="2" t="s">
        <v>44</v>
      </c>
      <c r="D13" s="2" t="s">
        <v>10</v>
      </c>
      <c r="E13" s="2" t="s">
        <v>45</v>
      </c>
      <c r="F13" s="2" t="s">
        <v>25</v>
      </c>
      <c r="G13" s="2" t="s">
        <v>13</v>
      </c>
      <c r="H13" s="2" t="s">
        <v>14</v>
      </c>
    </row>
    <row r="14" customFormat="false" ht="15" hidden="false" customHeight="false" outlineLevel="0" collapsed="false">
      <c r="A14" s="2" t="n">
        <v>13</v>
      </c>
      <c r="B14" s="5" t="s">
        <v>47</v>
      </c>
      <c r="C14" s="2" t="s">
        <v>48</v>
      </c>
      <c r="D14" s="2" t="s">
        <v>10</v>
      </c>
      <c r="E14" s="2" t="s">
        <v>45</v>
      </c>
      <c r="F14" s="2" t="s">
        <v>25</v>
      </c>
      <c r="G14" s="2" t="s">
        <v>13</v>
      </c>
      <c r="H14" s="2" t="s">
        <v>14</v>
      </c>
    </row>
    <row r="15" customFormat="false" ht="15" hidden="false" customHeight="false" outlineLevel="0" collapsed="false">
      <c r="A15" s="2" t="n">
        <v>14</v>
      </c>
      <c r="B15" s="5" t="s">
        <v>49</v>
      </c>
      <c r="C15" s="2" t="s">
        <v>50</v>
      </c>
      <c r="D15" s="2" t="s">
        <v>10</v>
      </c>
      <c r="E15" s="2" t="s">
        <v>51</v>
      </c>
      <c r="F15" s="2" t="s">
        <v>52</v>
      </c>
      <c r="G15" s="2" t="s">
        <v>28</v>
      </c>
      <c r="H15" s="2" t="s">
        <v>14</v>
      </c>
    </row>
    <row r="16" customFormat="false" ht="15" hidden="false" customHeight="false" outlineLevel="0" collapsed="false">
      <c r="A16" s="2" t="n">
        <v>15</v>
      </c>
      <c r="B16" s="5" t="s">
        <v>53</v>
      </c>
      <c r="C16" s="2" t="s">
        <v>54</v>
      </c>
      <c r="D16" s="2" t="s">
        <v>10</v>
      </c>
      <c r="E16" s="2" t="s">
        <v>51</v>
      </c>
      <c r="F16" s="2" t="s">
        <v>55</v>
      </c>
      <c r="G16" s="2" t="s">
        <v>13</v>
      </c>
      <c r="H16" s="2" t="s">
        <v>14</v>
      </c>
    </row>
    <row r="17" customFormat="false" ht="15" hidden="false" customHeight="false" outlineLevel="0" collapsed="false">
      <c r="A17" s="2" t="n">
        <v>16</v>
      </c>
      <c r="B17" s="5" t="s">
        <v>56</v>
      </c>
      <c r="C17" s="2" t="s">
        <v>54</v>
      </c>
      <c r="D17" s="2" t="s">
        <v>10</v>
      </c>
      <c r="E17" s="2" t="s">
        <v>51</v>
      </c>
      <c r="F17" s="2" t="s">
        <v>57</v>
      </c>
      <c r="G17" s="2" t="s">
        <v>13</v>
      </c>
      <c r="H17" s="2" t="s">
        <v>14</v>
      </c>
    </row>
    <row r="18" customFormat="false" ht="15" hidden="false" customHeight="false" outlineLevel="0" collapsed="false">
      <c r="A18" s="2" t="n">
        <v>17</v>
      </c>
      <c r="B18" s="5" t="s">
        <v>58</v>
      </c>
      <c r="C18" s="2" t="s">
        <v>54</v>
      </c>
      <c r="D18" s="2" t="s">
        <v>10</v>
      </c>
      <c r="E18" s="2" t="s">
        <v>51</v>
      </c>
      <c r="F18" s="2" t="s">
        <v>57</v>
      </c>
      <c r="G18" s="2" t="s">
        <v>13</v>
      </c>
      <c r="H18" s="2" t="s">
        <v>14</v>
      </c>
    </row>
    <row r="19" customFormat="false" ht="15" hidden="false" customHeight="false" outlineLevel="0" collapsed="false">
      <c r="A19" s="2" t="n">
        <v>18</v>
      </c>
      <c r="B19" s="5" t="s">
        <v>59</v>
      </c>
      <c r="C19" s="2" t="s">
        <v>54</v>
      </c>
      <c r="D19" s="2" t="s">
        <v>10</v>
      </c>
      <c r="E19" s="2" t="s">
        <v>51</v>
      </c>
      <c r="F19" s="2" t="s">
        <v>57</v>
      </c>
      <c r="G19" s="2" t="s">
        <v>13</v>
      </c>
      <c r="H19" s="2" t="s">
        <v>14</v>
      </c>
    </row>
    <row r="20" customFormat="false" ht="15" hidden="false" customHeight="false" outlineLevel="0" collapsed="false">
      <c r="A20" s="2" t="n">
        <v>19</v>
      </c>
      <c r="B20" s="5" t="s">
        <v>60</v>
      </c>
      <c r="C20" s="2" t="s">
        <v>61</v>
      </c>
      <c r="D20" s="2" t="s">
        <v>10</v>
      </c>
      <c r="E20" s="2" t="s">
        <v>62</v>
      </c>
      <c r="F20" s="2" t="s">
        <v>57</v>
      </c>
      <c r="G20" s="2" t="s">
        <v>13</v>
      </c>
      <c r="H20" s="2" t="s">
        <v>14</v>
      </c>
    </row>
    <row r="21" customFormat="false" ht="15" hidden="false" customHeight="false" outlineLevel="0" collapsed="false">
      <c r="A21" s="2" t="n">
        <v>20</v>
      </c>
      <c r="B21" s="5" t="s">
        <v>63</v>
      </c>
      <c r="C21" s="2" t="s">
        <v>61</v>
      </c>
      <c r="D21" s="2" t="s">
        <v>10</v>
      </c>
      <c r="E21" s="2" t="s">
        <v>62</v>
      </c>
      <c r="F21" s="2" t="s">
        <v>31</v>
      </c>
      <c r="G21" s="2" t="s">
        <v>13</v>
      </c>
      <c r="H21" s="2" t="s">
        <v>14</v>
      </c>
    </row>
    <row r="22" customFormat="false" ht="15" hidden="false" customHeight="false" outlineLevel="0" collapsed="false">
      <c r="A22" s="2" t="n">
        <v>21</v>
      </c>
      <c r="B22" s="3" t="s">
        <v>64</v>
      </c>
      <c r="C22" s="2" t="s">
        <v>61</v>
      </c>
      <c r="D22" s="2" t="s">
        <v>10</v>
      </c>
      <c r="E22" s="2" t="s">
        <v>65</v>
      </c>
      <c r="F22" s="4" t="s">
        <v>66</v>
      </c>
      <c r="G22" s="2" t="s">
        <v>13</v>
      </c>
      <c r="H22" s="2" t="s">
        <v>14</v>
      </c>
    </row>
    <row r="23" customFormat="false" ht="15" hidden="false" customHeight="false" outlineLevel="0" collapsed="false">
      <c r="A23" s="2" t="n">
        <v>22</v>
      </c>
      <c r="B23" s="5" t="s">
        <v>67</v>
      </c>
      <c r="C23" s="2" t="s">
        <v>68</v>
      </c>
      <c r="D23" s="2" t="s">
        <v>10</v>
      </c>
      <c r="E23" s="2" t="s">
        <v>69</v>
      </c>
      <c r="F23" s="2" t="s">
        <v>70</v>
      </c>
      <c r="G23" s="2" t="s">
        <v>13</v>
      </c>
      <c r="H23" s="2" t="s">
        <v>14</v>
      </c>
    </row>
    <row r="24" customFormat="false" ht="15" hidden="false" customHeight="false" outlineLevel="0" collapsed="false">
      <c r="A24" s="2" t="n">
        <v>23</v>
      </c>
      <c r="B24" s="5" t="s">
        <v>71</v>
      </c>
      <c r="C24" s="2" t="s">
        <v>72</v>
      </c>
      <c r="D24" s="2" t="s">
        <v>10</v>
      </c>
      <c r="E24" s="2" t="s">
        <v>73</v>
      </c>
      <c r="F24" s="2" t="s">
        <v>70</v>
      </c>
      <c r="G24" s="2" t="s">
        <v>13</v>
      </c>
      <c r="H24" s="2" t="s">
        <v>14</v>
      </c>
    </row>
    <row r="25" customFormat="false" ht="15" hidden="false" customHeight="false" outlineLevel="0" collapsed="false">
      <c r="A25" s="2" t="n">
        <v>24</v>
      </c>
      <c r="B25" s="5" t="s">
        <v>74</v>
      </c>
      <c r="C25" s="2" t="s">
        <v>75</v>
      </c>
      <c r="D25" s="2" t="s">
        <v>10</v>
      </c>
      <c r="E25" s="2" t="s">
        <v>51</v>
      </c>
      <c r="F25" s="2" t="s">
        <v>55</v>
      </c>
      <c r="G25" s="2" t="s">
        <v>13</v>
      </c>
      <c r="H25" s="2" t="s">
        <v>14</v>
      </c>
    </row>
    <row r="26" customFormat="false" ht="15" hidden="false" customHeight="false" outlineLevel="0" collapsed="false">
      <c r="A26" s="2" t="n">
        <v>25</v>
      </c>
      <c r="B26" s="5" t="s">
        <v>76</v>
      </c>
      <c r="C26" s="2" t="s">
        <v>77</v>
      </c>
      <c r="D26" s="2" t="s">
        <v>10</v>
      </c>
      <c r="E26" s="2" t="s">
        <v>51</v>
      </c>
      <c r="F26" s="2" t="s">
        <v>78</v>
      </c>
      <c r="G26" s="2" t="s">
        <v>13</v>
      </c>
      <c r="H26" s="2" t="s">
        <v>14</v>
      </c>
    </row>
    <row r="27" customFormat="false" ht="15" hidden="false" customHeight="false" outlineLevel="0" collapsed="false">
      <c r="A27" s="2" t="n">
        <v>26</v>
      </c>
      <c r="B27" s="5" t="s">
        <v>79</v>
      </c>
      <c r="C27" s="2" t="s">
        <v>80</v>
      </c>
      <c r="D27" s="2" t="s">
        <v>10</v>
      </c>
      <c r="E27" s="2" t="s">
        <v>51</v>
      </c>
      <c r="F27" s="2" t="s">
        <v>81</v>
      </c>
      <c r="G27" s="2" t="s">
        <v>13</v>
      </c>
      <c r="H27" s="2" t="s">
        <v>14</v>
      </c>
    </row>
    <row r="28" customFormat="false" ht="15" hidden="false" customHeight="false" outlineLevel="0" collapsed="false">
      <c r="A28" s="2" t="n">
        <v>27</v>
      </c>
      <c r="B28" s="5" t="s">
        <v>82</v>
      </c>
      <c r="C28" s="2" t="s">
        <v>83</v>
      </c>
      <c r="D28" s="2" t="s">
        <v>10</v>
      </c>
      <c r="E28" s="2" t="s">
        <v>51</v>
      </c>
      <c r="F28" s="2" t="s">
        <v>55</v>
      </c>
      <c r="G28" s="2" t="s">
        <v>13</v>
      </c>
      <c r="H28" s="2" t="s">
        <v>14</v>
      </c>
    </row>
    <row r="29" customFormat="false" ht="15" hidden="false" customHeight="false" outlineLevel="0" collapsed="false">
      <c r="A29" s="2" t="n">
        <v>28</v>
      </c>
      <c r="B29" s="5" t="s">
        <v>84</v>
      </c>
      <c r="C29" s="2" t="s">
        <v>85</v>
      </c>
      <c r="D29" s="2" t="s">
        <v>10</v>
      </c>
      <c r="E29" s="2" t="s">
        <v>51</v>
      </c>
      <c r="F29" s="2" t="s">
        <v>86</v>
      </c>
      <c r="G29" s="2" t="s">
        <v>13</v>
      </c>
      <c r="H29" s="2" t="s">
        <v>14</v>
      </c>
    </row>
    <row r="30" customFormat="false" ht="15" hidden="false" customHeight="false" outlineLevel="0" collapsed="false">
      <c r="A30" s="2" t="n">
        <v>29</v>
      </c>
      <c r="B30" s="5" t="s">
        <v>87</v>
      </c>
      <c r="C30" s="2" t="s">
        <v>88</v>
      </c>
      <c r="D30" s="2" t="s">
        <v>10</v>
      </c>
      <c r="E30" s="2" t="s">
        <v>69</v>
      </c>
      <c r="F30" s="2" t="s">
        <v>89</v>
      </c>
      <c r="G30" s="2" t="s">
        <v>13</v>
      </c>
      <c r="H30" s="2" t="s">
        <v>14</v>
      </c>
    </row>
    <row r="31" customFormat="false" ht="15" hidden="false" customHeight="false" outlineLevel="0" collapsed="false">
      <c r="A31" s="2" t="n">
        <v>30</v>
      </c>
      <c r="B31" s="5" t="s">
        <v>90</v>
      </c>
      <c r="C31" s="2" t="s">
        <v>91</v>
      </c>
      <c r="D31" s="2" t="s">
        <v>10</v>
      </c>
      <c r="E31" s="2" t="s">
        <v>51</v>
      </c>
      <c r="F31" s="2" t="s">
        <v>92</v>
      </c>
      <c r="G31" s="2" t="s">
        <v>13</v>
      </c>
      <c r="H31" s="2" t="s">
        <v>14</v>
      </c>
    </row>
    <row r="32" customFormat="false" ht="15" hidden="false" customHeight="false" outlineLevel="0" collapsed="false">
      <c r="A32" s="2" t="n">
        <v>31</v>
      </c>
      <c r="B32" s="5" t="s">
        <v>93</v>
      </c>
      <c r="C32" s="2" t="s">
        <v>94</v>
      </c>
      <c r="D32" s="2" t="s">
        <v>10</v>
      </c>
      <c r="E32" s="2" t="s">
        <v>69</v>
      </c>
      <c r="F32" s="2" t="s">
        <v>95</v>
      </c>
      <c r="G32" s="2" t="s">
        <v>13</v>
      </c>
      <c r="H32" s="2" t="s">
        <v>14</v>
      </c>
    </row>
    <row r="33" customFormat="false" ht="15" hidden="false" customHeight="false" outlineLevel="0" collapsed="false">
      <c r="A33" s="2" t="n">
        <v>32</v>
      </c>
      <c r="B33" s="5" t="s">
        <v>96</v>
      </c>
      <c r="C33" s="2" t="s">
        <v>97</v>
      </c>
      <c r="D33" s="2" t="s">
        <v>10</v>
      </c>
      <c r="E33" s="2" t="s">
        <v>69</v>
      </c>
      <c r="F33" s="2" t="s">
        <v>98</v>
      </c>
      <c r="G33" s="2" t="s">
        <v>13</v>
      </c>
      <c r="H33" s="2" t="s">
        <v>14</v>
      </c>
    </row>
    <row r="34" customFormat="false" ht="15" hidden="false" customHeight="false" outlineLevel="0" collapsed="false">
      <c r="A34" s="2" t="n">
        <v>33</v>
      </c>
      <c r="B34" s="5" t="s">
        <v>99</v>
      </c>
      <c r="C34" s="2" t="s">
        <v>100</v>
      </c>
      <c r="D34" s="2" t="s">
        <v>101</v>
      </c>
      <c r="E34" s="2" t="s">
        <v>102</v>
      </c>
      <c r="F34" s="2" t="s">
        <v>55</v>
      </c>
      <c r="G34" s="2" t="s">
        <v>13</v>
      </c>
      <c r="H34" s="2" t="s">
        <v>14</v>
      </c>
    </row>
    <row r="35" customFormat="false" ht="15" hidden="false" customHeight="false" outlineLevel="0" collapsed="false">
      <c r="A35" s="2" t="n">
        <v>34</v>
      </c>
      <c r="B35" s="5" t="s">
        <v>103</v>
      </c>
      <c r="C35" s="2" t="s">
        <v>104</v>
      </c>
      <c r="D35" s="2" t="s">
        <v>101</v>
      </c>
      <c r="E35" s="2" t="s">
        <v>102</v>
      </c>
      <c r="F35" s="2" t="s">
        <v>105</v>
      </c>
      <c r="G35" s="2" t="s">
        <v>13</v>
      </c>
      <c r="H35" s="2" t="s">
        <v>14</v>
      </c>
    </row>
    <row r="36" customFormat="false" ht="15" hidden="false" customHeight="false" outlineLevel="0" collapsed="false">
      <c r="A36" s="2" t="n">
        <v>35</v>
      </c>
      <c r="B36" s="5" t="s">
        <v>106</v>
      </c>
      <c r="C36" s="2" t="s">
        <v>107</v>
      </c>
      <c r="D36" s="2" t="s">
        <v>10</v>
      </c>
      <c r="E36" s="2" t="s">
        <v>51</v>
      </c>
      <c r="F36" s="2" t="s">
        <v>25</v>
      </c>
      <c r="G36" s="2" t="s">
        <v>13</v>
      </c>
      <c r="H36" s="2" t="s">
        <v>14</v>
      </c>
    </row>
    <row r="37" customFormat="false" ht="15" hidden="false" customHeight="false" outlineLevel="0" collapsed="false">
      <c r="A37" s="2" t="n">
        <v>36</v>
      </c>
      <c r="B37" s="5" t="s">
        <v>108</v>
      </c>
      <c r="C37" s="2" t="s">
        <v>109</v>
      </c>
      <c r="D37" s="2" t="s">
        <v>10</v>
      </c>
      <c r="E37" s="2" t="s">
        <v>110</v>
      </c>
      <c r="F37" s="2" t="s">
        <v>55</v>
      </c>
      <c r="G37" s="2" t="s">
        <v>13</v>
      </c>
      <c r="H37" s="2" t="s">
        <v>14</v>
      </c>
    </row>
    <row r="38" customFormat="false" ht="15" hidden="false" customHeight="false" outlineLevel="0" collapsed="false">
      <c r="A38" s="2" t="n">
        <v>37</v>
      </c>
      <c r="B38" s="5" t="s">
        <v>111</v>
      </c>
      <c r="C38" s="2" t="s">
        <v>112</v>
      </c>
      <c r="D38" s="2" t="s">
        <v>10</v>
      </c>
      <c r="E38" s="2" t="s">
        <v>110</v>
      </c>
      <c r="F38" s="2" t="s">
        <v>113</v>
      </c>
      <c r="G38" s="2" t="s">
        <v>13</v>
      </c>
      <c r="H38" s="2" t="s">
        <v>14</v>
      </c>
    </row>
    <row r="39" customFormat="false" ht="15" hidden="false" customHeight="false" outlineLevel="0" collapsed="false">
      <c r="A39" s="2" t="n">
        <v>38</v>
      </c>
      <c r="B39" s="5" t="s">
        <v>114</v>
      </c>
      <c r="C39" s="2" t="s">
        <v>115</v>
      </c>
      <c r="D39" s="2" t="s">
        <v>10</v>
      </c>
      <c r="E39" s="2" t="s">
        <v>116</v>
      </c>
      <c r="F39" s="2" t="s">
        <v>117</v>
      </c>
      <c r="G39" s="2" t="s">
        <v>13</v>
      </c>
      <c r="H39" s="2" t="s">
        <v>14</v>
      </c>
    </row>
    <row r="40" customFormat="false" ht="15" hidden="false" customHeight="false" outlineLevel="0" collapsed="false">
      <c r="A40" s="2" t="n">
        <v>39</v>
      </c>
      <c r="B40" s="5" t="s">
        <v>118</v>
      </c>
      <c r="C40" s="2" t="s">
        <v>119</v>
      </c>
      <c r="D40" s="2" t="s">
        <v>10</v>
      </c>
      <c r="E40" s="2" t="s">
        <v>120</v>
      </c>
      <c r="F40" s="2" t="s">
        <v>98</v>
      </c>
      <c r="G40" s="2" t="s">
        <v>13</v>
      </c>
      <c r="H40" s="2" t="s">
        <v>14</v>
      </c>
    </row>
    <row r="41" customFormat="false" ht="15" hidden="false" customHeight="false" outlineLevel="0" collapsed="false">
      <c r="A41" s="2" t="n">
        <v>40</v>
      </c>
      <c r="B41" s="5" t="s">
        <v>121</v>
      </c>
      <c r="C41" s="2" t="s">
        <v>122</v>
      </c>
      <c r="D41" s="2" t="s">
        <v>10</v>
      </c>
      <c r="E41" s="2" t="s">
        <v>123</v>
      </c>
      <c r="F41" s="2" t="s">
        <v>124</v>
      </c>
      <c r="G41" s="2" t="s">
        <v>13</v>
      </c>
      <c r="H41" s="2" t="s">
        <v>14</v>
      </c>
    </row>
    <row r="42" customFormat="false" ht="15" hidden="false" customHeight="false" outlineLevel="0" collapsed="false">
      <c r="A42" s="2" t="n">
        <v>41</v>
      </c>
      <c r="B42" s="5" t="s">
        <v>125</v>
      </c>
      <c r="C42" s="2" t="s">
        <v>122</v>
      </c>
      <c r="D42" s="2" t="s">
        <v>10</v>
      </c>
      <c r="E42" s="2" t="s">
        <v>126</v>
      </c>
      <c r="F42" s="2" t="s">
        <v>113</v>
      </c>
      <c r="G42" s="2" t="s">
        <v>13</v>
      </c>
      <c r="H42" s="2" t="s">
        <v>14</v>
      </c>
    </row>
    <row r="43" customFormat="false" ht="15" hidden="false" customHeight="false" outlineLevel="0" collapsed="false">
      <c r="A43" s="2" t="n">
        <v>42</v>
      </c>
      <c r="B43" s="5" t="s">
        <v>127</v>
      </c>
      <c r="C43" s="2" t="s">
        <v>128</v>
      </c>
      <c r="D43" s="2" t="s">
        <v>10</v>
      </c>
      <c r="E43" s="2" t="s">
        <v>110</v>
      </c>
      <c r="F43" s="2" t="s">
        <v>25</v>
      </c>
      <c r="G43" s="2" t="s">
        <v>13</v>
      </c>
      <c r="H43" s="2" t="s">
        <v>14</v>
      </c>
    </row>
    <row r="44" customFormat="false" ht="15" hidden="false" customHeight="false" outlineLevel="0" collapsed="false">
      <c r="A44" s="2" t="n">
        <v>43</v>
      </c>
      <c r="B44" s="5" t="s">
        <v>129</v>
      </c>
      <c r="C44" s="2" t="s">
        <v>130</v>
      </c>
      <c r="D44" s="2" t="s">
        <v>10</v>
      </c>
      <c r="E44" s="2" t="s">
        <v>131</v>
      </c>
      <c r="F44" s="2" t="s">
        <v>132</v>
      </c>
      <c r="G44" s="2" t="s">
        <v>13</v>
      </c>
      <c r="H44" s="2" t="s">
        <v>14</v>
      </c>
    </row>
    <row r="45" customFormat="false" ht="15" hidden="false" customHeight="false" outlineLevel="0" collapsed="false">
      <c r="A45" s="2" t="n">
        <v>44</v>
      </c>
      <c r="B45" s="5" t="s">
        <v>133</v>
      </c>
      <c r="C45" s="2" t="s">
        <v>134</v>
      </c>
      <c r="D45" s="2" t="s">
        <v>10</v>
      </c>
      <c r="E45" s="2" t="s">
        <v>110</v>
      </c>
      <c r="F45" s="2" t="s">
        <v>25</v>
      </c>
      <c r="G45" s="2" t="s">
        <v>13</v>
      </c>
      <c r="H45" s="2" t="s">
        <v>14</v>
      </c>
    </row>
    <row r="46" customFormat="false" ht="15" hidden="false" customHeight="false" outlineLevel="0" collapsed="false">
      <c r="A46" s="2" t="n">
        <v>45</v>
      </c>
      <c r="B46" s="5" t="s">
        <v>135</v>
      </c>
      <c r="C46" s="2" t="s">
        <v>136</v>
      </c>
      <c r="D46" s="2" t="s">
        <v>10</v>
      </c>
      <c r="E46" s="2" t="s">
        <v>123</v>
      </c>
      <c r="F46" s="2" t="s">
        <v>124</v>
      </c>
      <c r="G46" s="2" t="s">
        <v>13</v>
      </c>
      <c r="H46" s="2" t="s">
        <v>14</v>
      </c>
    </row>
    <row r="47" customFormat="false" ht="15" hidden="false" customHeight="false" outlineLevel="0" collapsed="false">
      <c r="A47" s="2" t="n">
        <v>46</v>
      </c>
      <c r="B47" s="5" t="s">
        <v>137</v>
      </c>
      <c r="C47" s="2" t="s">
        <v>138</v>
      </c>
      <c r="D47" s="2" t="s">
        <v>10</v>
      </c>
      <c r="E47" s="2" t="s">
        <v>123</v>
      </c>
      <c r="F47" s="2" t="s">
        <v>124</v>
      </c>
      <c r="G47" s="2" t="s">
        <v>13</v>
      </c>
      <c r="H47" s="2" t="s">
        <v>14</v>
      </c>
    </row>
    <row r="48" customFormat="false" ht="15" hidden="false" customHeight="false" outlineLevel="0" collapsed="false">
      <c r="A48" s="2" t="n">
        <v>47</v>
      </c>
      <c r="B48" s="5" t="s">
        <v>139</v>
      </c>
      <c r="C48" s="2" t="s">
        <v>140</v>
      </c>
      <c r="D48" s="2" t="s">
        <v>10</v>
      </c>
      <c r="E48" s="2" t="s">
        <v>110</v>
      </c>
      <c r="F48" s="2" t="s">
        <v>35</v>
      </c>
      <c r="G48" s="2" t="s">
        <v>28</v>
      </c>
      <c r="H48" s="2" t="s">
        <v>14</v>
      </c>
    </row>
    <row r="49" customFormat="false" ht="15" hidden="false" customHeight="false" outlineLevel="0" collapsed="false">
      <c r="A49" s="2" t="n">
        <v>48</v>
      </c>
      <c r="B49" s="5" t="s">
        <v>141</v>
      </c>
      <c r="C49" s="2" t="s">
        <v>142</v>
      </c>
      <c r="D49" s="2" t="s">
        <v>10</v>
      </c>
      <c r="E49" s="2" t="s">
        <v>110</v>
      </c>
      <c r="F49" s="2" t="s">
        <v>35</v>
      </c>
      <c r="G49" s="2" t="s">
        <v>28</v>
      </c>
      <c r="H49" s="2" t="s">
        <v>14</v>
      </c>
    </row>
    <row r="50" customFormat="false" ht="15" hidden="false" customHeight="false" outlineLevel="0" collapsed="false">
      <c r="A50" s="2" t="n">
        <v>49</v>
      </c>
      <c r="B50" s="3" t="s">
        <v>143</v>
      </c>
      <c r="C50" s="2" t="s">
        <v>144</v>
      </c>
      <c r="D50" s="2" t="s">
        <v>10</v>
      </c>
      <c r="E50" s="2" t="s">
        <v>110</v>
      </c>
      <c r="F50" s="4" t="s">
        <v>145</v>
      </c>
      <c r="G50" s="2" t="s">
        <v>13</v>
      </c>
      <c r="H50" s="2" t="s">
        <v>14</v>
      </c>
    </row>
    <row r="51" customFormat="false" ht="15" hidden="false" customHeight="false" outlineLevel="0" collapsed="false">
      <c r="A51" s="2" t="n">
        <v>50</v>
      </c>
      <c r="B51" s="5" t="s">
        <v>146</v>
      </c>
      <c r="C51" s="2" t="s">
        <v>147</v>
      </c>
      <c r="D51" s="2" t="s">
        <v>10</v>
      </c>
      <c r="E51" s="2" t="s">
        <v>110</v>
      </c>
      <c r="F51" s="2" t="s">
        <v>55</v>
      </c>
      <c r="G51" s="2" t="s">
        <v>13</v>
      </c>
      <c r="H51" s="2" t="s">
        <v>14</v>
      </c>
    </row>
    <row r="52" customFormat="false" ht="15" hidden="false" customHeight="false" outlineLevel="0" collapsed="false">
      <c r="A52" s="2" t="n">
        <v>51</v>
      </c>
      <c r="B52" s="5" t="s">
        <v>148</v>
      </c>
      <c r="C52" s="2" t="s">
        <v>149</v>
      </c>
      <c r="D52" s="2" t="s">
        <v>150</v>
      </c>
      <c r="E52" s="2" t="s">
        <v>102</v>
      </c>
      <c r="F52" s="2" t="s">
        <v>55</v>
      </c>
      <c r="G52" s="2" t="s">
        <v>13</v>
      </c>
      <c r="H52" s="2" t="s">
        <v>14</v>
      </c>
    </row>
    <row r="53" customFormat="false" ht="15" hidden="false" customHeight="false" outlineLevel="0" collapsed="false">
      <c r="A53" s="2" t="n">
        <v>52</v>
      </c>
      <c r="B53" s="5" t="s">
        <v>151</v>
      </c>
      <c r="C53" s="2" t="s">
        <v>152</v>
      </c>
      <c r="D53" s="2" t="s">
        <v>153</v>
      </c>
      <c r="E53" s="2" t="s">
        <v>110</v>
      </c>
      <c r="F53" s="2" t="s">
        <v>57</v>
      </c>
      <c r="G53" s="2" t="s">
        <v>13</v>
      </c>
      <c r="H53" s="2" t="s">
        <v>14</v>
      </c>
    </row>
    <row r="54" customFormat="false" ht="15" hidden="false" customHeight="false" outlineLevel="0" collapsed="false">
      <c r="A54" s="2" t="n">
        <v>53</v>
      </c>
      <c r="B54" s="5" t="s">
        <v>154</v>
      </c>
      <c r="C54" s="2" t="s">
        <v>155</v>
      </c>
      <c r="D54" s="2" t="s">
        <v>10</v>
      </c>
      <c r="E54" s="2" t="s">
        <v>110</v>
      </c>
      <c r="F54" s="2" t="s">
        <v>55</v>
      </c>
      <c r="G54" s="2" t="s">
        <v>13</v>
      </c>
      <c r="H54" s="2" t="s">
        <v>14</v>
      </c>
    </row>
    <row r="55" customFormat="false" ht="15" hidden="false" customHeight="false" outlineLevel="0" collapsed="false">
      <c r="A55" s="2" t="n">
        <v>54</v>
      </c>
      <c r="B55" s="5" t="s">
        <v>156</v>
      </c>
      <c r="C55" s="2" t="s">
        <v>155</v>
      </c>
      <c r="D55" s="2" t="s">
        <v>10</v>
      </c>
      <c r="E55" s="2" t="s">
        <v>120</v>
      </c>
      <c r="F55" s="2" t="s">
        <v>157</v>
      </c>
      <c r="G55" s="2" t="s">
        <v>13</v>
      </c>
      <c r="H55" s="2" t="s">
        <v>14</v>
      </c>
    </row>
    <row r="56" customFormat="false" ht="15" hidden="false" customHeight="false" outlineLevel="0" collapsed="false">
      <c r="A56" s="2" t="n">
        <v>55</v>
      </c>
      <c r="B56" s="3" t="s">
        <v>158</v>
      </c>
      <c r="C56" s="2" t="s">
        <v>159</v>
      </c>
      <c r="D56" s="2" t="s">
        <v>10</v>
      </c>
      <c r="E56" s="2" t="s">
        <v>65</v>
      </c>
      <c r="F56" s="4" t="s">
        <v>160</v>
      </c>
      <c r="G56" s="2" t="s">
        <v>13</v>
      </c>
      <c r="H56" s="2" t="s">
        <v>14</v>
      </c>
    </row>
    <row r="57" customFormat="false" ht="15" hidden="false" customHeight="false" outlineLevel="0" collapsed="false">
      <c r="A57" s="2" t="n">
        <v>56</v>
      </c>
      <c r="B57" s="5" t="s">
        <v>161</v>
      </c>
      <c r="C57" s="2" t="s">
        <v>162</v>
      </c>
      <c r="D57" s="2" t="s">
        <v>163</v>
      </c>
      <c r="E57" s="2" t="s">
        <v>164</v>
      </c>
      <c r="F57" s="2" t="s">
        <v>52</v>
      </c>
      <c r="G57" s="2" t="s">
        <v>13</v>
      </c>
      <c r="H57" s="2" t="s">
        <v>14</v>
      </c>
    </row>
    <row r="58" customFormat="false" ht="15" hidden="false" customHeight="false" outlineLevel="0" collapsed="false">
      <c r="A58" s="2" t="n">
        <v>57</v>
      </c>
      <c r="B58" s="5" t="s">
        <v>165</v>
      </c>
      <c r="C58" s="2" t="s">
        <v>166</v>
      </c>
      <c r="D58" s="2" t="s">
        <v>10</v>
      </c>
      <c r="E58" s="2" t="s">
        <v>167</v>
      </c>
      <c r="F58" s="2" t="s">
        <v>168</v>
      </c>
      <c r="G58" s="2" t="s">
        <v>28</v>
      </c>
      <c r="H58" s="2" t="s">
        <v>14</v>
      </c>
    </row>
    <row r="59" customFormat="false" ht="15" hidden="false" customHeight="false" outlineLevel="0" collapsed="false">
      <c r="A59" s="2" t="n">
        <v>58</v>
      </c>
      <c r="B59" s="5" t="s">
        <v>169</v>
      </c>
      <c r="C59" s="2" t="s">
        <v>166</v>
      </c>
      <c r="D59" s="2" t="s">
        <v>10</v>
      </c>
      <c r="E59" s="2" t="s">
        <v>167</v>
      </c>
      <c r="F59" s="2" t="s">
        <v>98</v>
      </c>
      <c r="G59" s="2" t="s">
        <v>13</v>
      </c>
      <c r="H59" s="2" t="s">
        <v>14</v>
      </c>
    </row>
    <row r="60" customFormat="false" ht="15" hidden="false" customHeight="false" outlineLevel="0" collapsed="false">
      <c r="A60" s="2" t="n">
        <v>59</v>
      </c>
      <c r="B60" s="5" t="s">
        <v>170</v>
      </c>
      <c r="C60" s="2" t="s">
        <v>171</v>
      </c>
      <c r="D60" s="2" t="s">
        <v>10</v>
      </c>
      <c r="E60" s="2" t="s">
        <v>167</v>
      </c>
      <c r="F60" s="2" t="s">
        <v>172</v>
      </c>
      <c r="G60" s="2" t="s">
        <v>13</v>
      </c>
      <c r="H60" s="2" t="s">
        <v>14</v>
      </c>
    </row>
    <row r="61" customFormat="false" ht="15" hidden="false" customHeight="false" outlineLevel="0" collapsed="false">
      <c r="A61" s="2" t="n">
        <v>60</v>
      </c>
      <c r="B61" s="3" t="s">
        <v>173</v>
      </c>
      <c r="C61" s="2" t="s">
        <v>171</v>
      </c>
      <c r="D61" s="2" t="s">
        <v>10</v>
      </c>
      <c r="E61" s="2" t="s">
        <v>65</v>
      </c>
      <c r="F61" s="4" t="s">
        <v>160</v>
      </c>
      <c r="G61" s="2" t="s">
        <v>13</v>
      </c>
      <c r="H61" s="2" t="s">
        <v>14</v>
      </c>
    </row>
    <row r="62" customFormat="false" ht="15" hidden="false" customHeight="false" outlineLevel="0" collapsed="false">
      <c r="A62" s="2" t="n">
        <v>61</v>
      </c>
      <c r="B62" s="5" t="s">
        <v>174</v>
      </c>
      <c r="C62" s="2" t="s">
        <v>175</v>
      </c>
      <c r="D62" s="2" t="s">
        <v>10</v>
      </c>
      <c r="E62" s="2" t="s">
        <v>167</v>
      </c>
      <c r="F62" s="2" t="s">
        <v>168</v>
      </c>
      <c r="G62" s="2" t="s">
        <v>13</v>
      </c>
      <c r="H62" s="2" t="s">
        <v>14</v>
      </c>
    </row>
    <row r="63" customFormat="false" ht="15" hidden="false" customHeight="false" outlineLevel="0" collapsed="false">
      <c r="A63" s="2" t="n">
        <v>62</v>
      </c>
      <c r="B63" s="5" t="s">
        <v>176</v>
      </c>
      <c r="C63" s="2" t="s">
        <v>177</v>
      </c>
      <c r="D63" s="2" t="s">
        <v>10</v>
      </c>
      <c r="E63" s="2" t="s">
        <v>178</v>
      </c>
      <c r="F63" s="2" t="s">
        <v>70</v>
      </c>
      <c r="G63" s="2" t="s">
        <v>13</v>
      </c>
      <c r="H63" s="2" t="s">
        <v>14</v>
      </c>
    </row>
    <row r="64" customFormat="false" ht="15" hidden="false" customHeight="false" outlineLevel="0" collapsed="false">
      <c r="A64" s="2" t="n">
        <v>63</v>
      </c>
      <c r="B64" s="5" t="s">
        <v>179</v>
      </c>
      <c r="C64" s="2" t="s">
        <v>180</v>
      </c>
      <c r="D64" s="2" t="s">
        <v>10</v>
      </c>
      <c r="E64" s="2" t="s">
        <v>178</v>
      </c>
      <c r="F64" s="2" t="s">
        <v>55</v>
      </c>
      <c r="G64" s="2" t="s">
        <v>13</v>
      </c>
      <c r="H64" s="2" t="s">
        <v>14</v>
      </c>
    </row>
    <row r="65" customFormat="false" ht="15" hidden="false" customHeight="false" outlineLevel="0" collapsed="false">
      <c r="A65" s="2" t="n">
        <v>64</v>
      </c>
      <c r="B65" s="3" t="s">
        <v>181</v>
      </c>
      <c r="C65" s="2" t="s">
        <v>180</v>
      </c>
      <c r="D65" s="2" t="s">
        <v>10</v>
      </c>
      <c r="E65" s="2" t="s">
        <v>65</v>
      </c>
      <c r="F65" s="4" t="s">
        <v>160</v>
      </c>
      <c r="G65" s="2" t="s">
        <v>13</v>
      </c>
      <c r="H65" s="2" t="s">
        <v>14</v>
      </c>
    </row>
    <row r="66" customFormat="false" ht="15" hidden="false" customHeight="false" outlineLevel="0" collapsed="false">
      <c r="A66" s="2" t="n">
        <v>65</v>
      </c>
      <c r="B66" s="5" t="s">
        <v>182</v>
      </c>
      <c r="C66" s="2" t="s">
        <v>183</v>
      </c>
      <c r="D66" s="2" t="s">
        <v>10</v>
      </c>
      <c r="E66" s="2" t="s">
        <v>178</v>
      </c>
      <c r="F66" s="2" t="s">
        <v>184</v>
      </c>
      <c r="G66" s="2" t="s">
        <v>13</v>
      </c>
      <c r="H66" s="2" t="s">
        <v>14</v>
      </c>
    </row>
    <row r="67" customFormat="false" ht="15" hidden="false" customHeight="false" outlineLevel="0" collapsed="false">
      <c r="A67" s="2" t="n">
        <v>66</v>
      </c>
      <c r="B67" s="5" t="s">
        <v>185</v>
      </c>
      <c r="C67" s="2" t="s">
        <v>183</v>
      </c>
      <c r="D67" s="2" t="s">
        <v>10</v>
      </c>
      <c r="E67" s="2" t="s">
        <v>178</v>
      </c>
      <c r="F67" s="2" t="s">
        <v>186</v>
      </c>
      <c r="G67" s="2" t="s">
        <v>13</v>
      </c>
      <c r="H67" s="2" t="s">
        <v>14</v>
      </c>
    </row>
    <row r="68" customFormat="false" ht="15" hidden="false" customHeight="false" outlineLevel="0" collapsed="false">
      <c r="A68" s="2" t="n">
        <v>67</v>
      </c>
      <c r="B68" s="5" t="s">
        <v>187</v>
      </c>
      <c r="C68" s="2" t="s">
        <v>183</v>
      </c>
      <c r="D68" s="2" t="s">
        <v>10</v>
      </c>
      <c r="E68" s="2" t="s">
        <v>178</v>
      </c>
      <c r="F68" s="2" t="s">
        <v>188</v>
      </c>
      <c r="G68" s="2" t="s">
        <v>13</v>
      </c>
      <c r="H68" s="2" t="s">
        <v>14</v>
      </c>
    </row>
    <row r="69" customFormat="false" ht="15" hidden="false" customHeight="false" outlineLevel="0" collapsed="false">
      <c r="A69" s="2" t="n">
        <v>68</v>
      </c>
      <c r="B69" s="5" t="s">
        <v>189</v>
      </c>
      <c r="C69" s="2" t="s">
        <v>190</v>
      </c>
      <c r="D69" s="2" t="s">
        <v>10</v>
      </c>
      <c r="E69" s="2" t="s">
        <v>178</v>
      </c>
      <c r="F69" s="2" t="s">
        <v>191</v>
      </c>
      <c r="G69" s="2" t="s">
        <v>13</v>
      </c>
      <c r="H69" s="2" t="s">
        <v>14</v>
      </c>
    </row>
    <row r="70" customFormat="false" ht="15" hidden="false" customHeight="false" outlineLevel="0" collapsed="false">
      <c r="A70" s="2" t="n">
        <v>69</v>
      </c>
      <c r="B70" s="5" t="s">
        <v>192</v>
      </c>
      <c r="C70" s="2" t="s">
        <v>193</v>
      </c>
      <c r="D70" s="2" t="s">
        <v>194</v>
      </c>
      <c r="E70" s="2" t="s">
        <v>178</v>
      </c>
      <c r="F70" s="2" t="s">
        <v>132</v>
      </c>
      <c r="G70" s="2" t="s">
        <v>13</v>
      </c>
      <c r="H70" s="2" t="s">
        <v>14</v>
      </c>
    </row>
    <row r="71" customFormat="false" ht="15" hidden="false" customHeight="false" outlineLevel="0" collapsed="false">
      <c r="A71" s="2" t="n">
        <v>70</v>
      </c>
      <c r="B71" s="5" t="s">
        <v>195</v>
      </c>
      <c r="C71" s="2" t="s">
        <v>196</v>
      </c>
      <c r="D71" s="2" t="s">
        <v>10</v>
      </c>
      <c r="E71" s="2" t="s">
        <v>178</v>
      </c>
      <c r="F71" s="2" t="s">
        <v>113</v>
      </c>
      <c r="G71" s="2" t="s">
        <v>13</v>
      </c>
      <c r="H71" s="2" t="s">
        <v>14</v>
      </c>
    </row>
    <row r="72" customFormat="false" ht="15" hidden="false" customHeight="false" outlineLevel="0" collapsed="false">
      <c r="A72" s="2" t="n">
        <v>71</v>
      </c>
      <c r="B72" s="5" t="s">
        <v>197</v>
      </c>
      <c r="C72" s="2" t="s">
        <v>198</v>
      </c>
      <c r="D72" s="2" t="s">
        <v>10</v>
      </c>
      <c r="E72" s="2" t="s">
        <v>178</v>
      </c>
      <c r="F72" s="2" t="s">
        <v>70</v>
      </c>
      <c r="G72" s="2" t="s">
        <v>13</v>
      </c>
      <c r="H72" s="2" t="s">
        <v>14</v>
      </c>
    </row>
    <row r="73" customFormat="false" ht="22.35" hidden="false" customHeight="false" outlineLevel="0" collapsed="false">
      <c r="A73" s="2" t="n">
        <v>72</v>
      </c>
      <c r="B73" s="5" t="s">
        <v>199</v>
      </c>
      <c r="C73" s="2" t="s">
        <v>200</v>
      </c>
      <c r="D73" s="2" t="s">
        <v>10</v>
      </c>
      <c r="E73" s="2" t="s">
        <v>178</v>
      </c>
      <c r="F73" s="2" t="s">
        <v>201</v>
      </c>
      <c r="G73" s="2" t="s">
        <v>13</v>
      </c>
      <c r="H73" s="2" t="s">
        <v>14</v>
      </c>
    </row>
    <row r="74" customFormat="false" ht="22.35" hidden="false" customHeight="false" outlineLevel="0" collapsed="false">
      <c r="A74" s="2" t="n">
        <v>73</v>
      </c>
      <c r="B74" s="5" t="s">
        <v>202</v>
      </c>
      <c r="C74" s="2" t="s">
        <v>203</v>
      </c>
      <c r="D74" s="2" t="s">
        <v>204</v>
      </c>
      <c r="E74" s="2" t="s">
        <v>178</v>
      </c>
      <c r="F74" s="2" t="s">
        <v>172</v>
      </c>
      <c r="G74" s="2" t="s">
        <v>13</v>
      </c>
      <c r="H74" s="2" t="s">
        <v>14</v>
      </c>
    </row>
    <row r="75" customFormat="false" ht="15" hidden="false" customHeight="false" outlineLevel="0" collapsed="false">
      <c r="A75" s="2" t="n">
        <v>74</v>
      </c>
      <c r="B75" s="5" t="s">
        <v>205</v>
      </c>
      <c r="C75" s="2" t="s">
        <v>206</v>
      </c>
      <c r="D75" s="2" t="s">
        <v>207</v>
      </c>
      <c r="E75" s="2" t="s">
        <v>208</v>
      </c>
      <c r="F75" s="2" t="s">
        <v>209</v>
      </c>
      <c r="G75" s="2" t="s">
        <v>13</v>
      </c>
      <c r="H75" s="2" t="s">
        <v>14</v>
      </c>
    </row>
    <row r="76" customFormat="false" ht="22.35" hidden="false" customHeight="false" outlineLevel="0" collapsed="false">
      <c r="A76" s="2" t="n">
        <v>75</v>
      </c>
      <c r="B76" s="3" t="s">
        <v>210</v>
      </c>
      <c r="C76" s="2" t="s">
        <v>211</v>
      </c>
      <c r="D76" s="2" t="s">
        <v>212</v>
      </c>
      <c r="E76" s="2" t="s">
        <v>213</v>
      </c>
      <c r="F76" s="4" t="s">
        <v>214</v>
      </c>
      <c r="G76" s="2" t="s">
        <v>13</v>
      </c>
      <c r="H76" s="2" t="s">
        <v>14</v>
      </c>
    </row>
    <row r="77" customFormat="false" ht="15" hidden="false" customHeight="false" outlineLevel="0" collapsed="false">
      <c r="A77" s="2" t="n">
        <v>76</v>
      </c>
      <c r="B77" s="5" t="s">
        <v>215</v>
      </c>
      <c r="C77" s="2" t="s">
        <v>216</v>
      </c>
      <c r="D77" s="2" t="s">
        <v>217</v>
      </c>
      <c r="E77" s="2" t="s">
        <v>218</v>
      </c>
      <c r="F77" s="2" t="s">
        <v>219</v>
      </c>
      <c r="G77" s="2" t="s">
        <v>13</v>
      </c>
      <c r="H77" s="2" t="s">
        <v>14</v>
      </c>
    </row>
    <row r="78" customFormat="false" ht="15" hidden="false" customHeight="false" outlineLevel="0" collapsed="false">
      <c r="A78" s="2" t="n">
        <v>77</v>
      </c>
      <c r="B78" s="5" t="s">
        <v>220</v>
      </c>
      <c r="C78" s="2" t="s">
        <v>221</v>
      </c>
      <c r="D78" s="2" t="s">
        <v>10</v>
      </c>
      <c r="E78" s="2" t="s">
        <v>222</v>
      </c>
      <c r="F78" s="2" t="s">
        <v>219</v>
      </c>
      <c r="G78" s="2" t="s">
        <v>13</v>
      </c>
      <c r="H78" s="2" t="s">
        <v>14</v>
      </c>
    </row>
    <row r="79" customFormat="false" ht="15" hidden="false" customHeight="false" outlineLevel="0" collapsed="false">
      <c r="A79" s="2" t="n">
        <v>78</v>
      </c>
      <c r="B79" s="5" t="s">
        <v>223</v>
      </c>
      <c r="C79" s="2" t="s">
        <v>224</v>
      </c>
      <c r="D79" s="2" t="s">
        <v>10</v>
      </c>
      <c r="E79" s="2" t="s">
        <v>225</v>
      </c>
      <c r="F79" s="2" t="s">
        <v>226</v>
      </c>
      <c r="G79" s="2" t="s">
        <v>13</v>
      </c>
      <c r="H79" s="2" t="s">
        <v>14</v>
      </c>
    </row>
    <row r="80" customFormat="false" ht="15" hidden="false" customHeight="false" outlineLevel="0" collapsed="false">
      <c r="A80" s="2" t="n">
        <v>79</v>
      </c>
      <c r="B80" s="5" t="s">
        <v>227</v>
      </c>
      <c r="C80" s="2" t="s">
        <v>228</v>
      </c>
      <c r="D80" s="2" t="s">
        <v>10</v>
      </c>
      <c r="E80" s="2" t="s">
        <v>225</v>
      </c>
      <c r="F80" s="2" t="s">
        <v>191</v>
      </c>
      <c r="G80" s="2" t="s">
        <v>13</v>
      </c>
      <c r="H80" s="2" t="s">
        <v>14</v>
      </c>
    </row>
    <row r="81" customFormat="false" ht="15" hidden="false" customHeight="false" outlineLevel="0" collapsed="false">
      <c r="A81" s="2" t="n">
        <v>80</v>
      </c>
      <c r="B81" s="5" t="s">
        <v>229</v>
      </c>
      <c r="C81" s="2" t="s">
        <v>228</v>
      </c>
      <c r="D81" s="2" t="s">
        <v>10</v>
      </c>
      <c r="E81" s="2" t="s">
        <v>225</v>
      </c>
      <c r="F81" s="2" t="s">
        <v>230</v>
      </c>
      <c r="G81" s="2" t="s">
        <v>13</v>
      </c>
      <c r="H81" s="2" t="s">
        <v>14</v>
      </c>
    </row>
    <row r="82" customFormat="false" ht="15" hidden="false" customHeight="false" outlineLevel="0" collapsed="false">
      <c r="A82" s="2" t="n">
        <v>81</v>
      </c>
      <c r="B82" s="5" t="s">
        <v>231</v>
      </c>
      <c r="C82" s="2" t="s">
        <v>232</v>
      </c>
      <c r="D82" s="2" t="s">
        <v>10</v>
      </c>
      <c r="E82" s="2" t="s">
        <v>218</v>
      </c>
      <c r="F82" s="2" t="s">
        <v>219</v>
      </c>
      <c r="G82" s="2" t="s">
        <v>13</v>
      </c>
      <c r="H82" s="2" t="s">
        <v>14</v>
      </c>
    </row>
    <row r="83" customFormat="false" ht="22.35" hidden="false" customHeight="false" outlineLevel="0" collapsed="false">
      <c r="A83" s="2" t="n">
        <v>82</v>
      </c>
      <c r="B83" s="5" t="s">
        <v>233</v>
      </c>
      <c r="C83" s="2" t="s">
        <v>234</v>
      </c>
      <c r="D83" s="2" t="s">
        <v>10</v>
      </c>
      <c r="E83" s="2" t="s">
        <v>235</v>
      </c>
      <c r="F83" s="2" t="s">
        <v>27</v>
      </c>
      <c r="G83" s="2" t="s">
        <v>13</v>
      </c>
      <c r="H83" s="2" t="s">
        <v>14</v>
      </c>
    </row>
    <row r="84" customFormat="false" ht="15" hidden="false" customHeight="false" outlineLevel="0" collapsed="false">
      <c r="A84" s="2" t="n">
        <v>83</v>
      </c>
      <c r="B84" s="5" t="s">
        <v>236</v>
      </c>
      <c r="C84" s="2" t="s">
        <v>237</v>
      </c>
      <c r="D84" s="2" t="s">
        <v>10</v>
      </c>
      <c r="E84" s="2" t="s">
        <v>218</v>
      </c>
      <c r="F84" s="2" t="s">
        <v>124</v>
      </c>
      <c r="G84" s="2" t="s">
        <v>13</v>
      </c>
      <c r="H84" s="2" t="s">
        <v>14</v>
      </c>
    </row>
    <row r="85" customFormat="false" ht="15" hidden="false" customHeight="false" outlineLevel="0" collapsed="false">
      <c r="A85" s="2" t="n">
        <v>84</v>
      </c>
      <c r="B85" s="5" t="s">
        <v>238</v>
      </c>
      <c r="C85" s="2" t="s">
        <v>239</v>
      </c>
      <c r="D85" s="2" t="s">
        <v>10</v>
      </c>
      <c r="E85" s="2" t="s">
        <v>225</v>
      </c>
      <c r="F85" s="2" t="s">
        <v>240</v>
      </c>
      <c r="G85" s="2" t="s">
        <v>13</v>
      </c>
      <c r="H85" s="2" t="s">
        <v>14</v>
      </c>
    </row>
    <row r="86" customFormat="false" ht="15" hidden="false" customHeight="false" outlineLevel="0" collapsed="false">
      <c r="A86" s="2" t="n">
        <v>85</v>
      </c>
      <c r="B86" s="5" t="s">
        <v>241</v>
      </c>
      <c r="C86" s="2" t="s">
        <v>242</v>
      </c>
      <c r="D86" s="2" t="s">
        <v>10</v>
      </c>
      <c r="E86" s="2" t="s">
        <v>243</v>
      </c>
      <c r="F86" s="2" t="s">
        <v>244</v>
      </c>
      <c r="G86" s="2" t="s">
        <v>13</v>
      </c>
      <c r="H86" s="2" t="s">
        <v>14</v>
      </c>
    </row>
    <row r="87" customFormat="false" ht="15" hidden="false" customHeight="false" outlineLevel="0" collapsed="false">
      <c r="A87" s="2" t="n">
        <v>86</v>
      </c>
      <c r="B87" s="5" t="s">
        <v>245</v>
      </c>
      <c r="C87" s="2" t="s">
        <v>246</v>
      </c>
      <c r="D87" s="2" t="s">
        <v>10</v>
      </c>
      <c r="E87" s="2" t="s">
        <v>218</v>
      </c>
      <c r="F87" s="2" t="s">
        <v>27</v>
      </c>
      <c r="G87" s="2" t="s">
        <v>13</v>
      </c>
      <c r="H87" s="2" t="s">
        <v>14</v>
      </c>
    </row>
    <row r="88" customFormat="false" ht="15" hidden="false" customHeight="false" outlineLevel="0" collapsed="false">
      <c r="A88" s="2" t="n">
        <v>87</v>
      </c>
      <c r="B88" s="5" t="s">
        <v>247</v>
      </c>
      <c r="C88" s="2" t="s">
        <v>246</v>
      </c>
      <c r="D88" s="2" t="s">
        <v>10</v>
      </c>
      <c r="E88" s="2" t="s">
        <v>218</v>
      </c>
      <c r="F88" s="2" t="s">
        <v>27</v>
      </c>
      <c r="G88" s="2" t="s">
        <v>13</v>
      </c>
      <c r="H88" s="2" t="s">
        <v>14</v>
      </c>
    </row>
    <row r="89" customFormat="false" ht="15" hidden="false" customHeight="false" outlineLevel="0" collapsed="false">
      <c r="A89" s="2" t="n">
        <v>88</v>
      </c>
      <c r="B89" s="3" t="s">
        <v>248</v>
      </c>
      <c r="C89" s="2" t="s">
        <v>246</v>
      </c>
      <c r="D89" s="2" t="s">
        <v>10</v>
      </c>
      <c r="E89" s="2" t="s">
        <v>218</v>
      </c>
      <c r="F89" s="4" t="s">
        <v>17</v>
      </c>
      <c r="G89" s="2" t="s">
        <v>13</v>
      </c>
      <c r="H89" s="2" t="s">
        <v>14</v>
      </c>
    </row>
    <row r="90" customFormat="false" ht="15" hidden="false" customHeight="false" outlineLevel="0" collapsed="false">
      <c r="A90" s="2" t="n">
        <v>89</v>
      </c>
      <c r="B90" s="5" t="s">
        <v>249</v>
      </c>
      <c r="C90" s="2" t="s">
        <v>250</v>
      </c>
      <c r="D90" s="2" t="s">
        <v>10</v>
      </c>
      <c r="E90" s="2" t="s">
        <v>218</v>
      </c>
      <c r="F90" s="2" t="s">
        <v>117</v>
      </c>
      <c r="G90" s="2" t="s">
        <v>13</v>
      </c>
      <c r="H90" s="2" t="s">
        <v>14</v>
      </c>
    </row>
    <row r="91" customFormat="false" ht="22.35" hidden="false" customHeight="false" outlineLevel="0" collapsed="false">
      <c r="A91" s="2" t="n">
        <v>90</v>
      </c>
      <c r="B91" s="5" t="s">
        <v>251</v>
      </c>
      <c r="C91" s="2" t="s">
        <v>252</v>
      </c>
      <c r="D91" s="2" t="s">
        <v>10</v>
      </c>
      <c r="E91" s="2" t="s">
        <v>218</v>
      </c>
      <c r="F91" s="2" t="s">
        <v>253</v>
      </c>
      <c r="G91" s="2" t="s">
        <v>13</v>
      </c>
      <c r="H91" s="2" t="s">
        <v>14</v>
      </c>
    </row>
    <row r="92" customFormat="false" ht="22.35" hidden="false" customHeight="false" outlineLevel="0" collapsed="false">
      <c r="A92" s="2" t="n">
        <v>91</v>
      </c>
      <c r="B92" s="5" t="s">
        <v>254</v>
      </c>
      <c r="C92" s="2" t="s">
        <v>255</v>
      </c>
      <c r="D92" s="2" t="s">
        <v>10</v>
      </c>
      <c r="E92" s="2" t="s">
        <v>256</v>
      </c>
      <c r="F92" s="2" t="s">
        <v>21</v>
      </c>
      <c r="G92" s="2" t="s">
        <v>13</v>
      </c>
      <c r="H92" s="2" t="s">
        <v>14</v>
      </c>
    </row>
    <row r="93" customFormat="false" ht="22.35" hidden="false" customHeight="false" outlineLevel="0" collapsed="false">
      <c r="A93" s="2" t="n">
        <v>92</v>
      </c>
      <c r="B93" s="5" t="s">
        <v>257</v>
      </c>
      <c r="C93" s="2" t="s">
        <v>258</v>
      </c>
      <c r="D93" s="2" t="s">
        <v>10</v>
      </c>
      <c r="E93" s="2" t="s">
        <v>218</v>
      </c>
      <c r="F93" s="2" t="s">
        <v>21</v>
      </c>
      <c r="G93" s="2" t="s">
        <v>13</v>
      </c>
      <c r="H93" s="2" t="s">
        <v>14</v>
      </c>
    </row>
    <row r="94" customFormat="false" ht="22.35" hidden="false" customHeight="false" outlineLevel="0" collapsed="false">
      <c r="A94" s="2" t="n">
        <v>93</v>
      </c>
      <c r="B94" s="3" t="s">
        <v>259</v>
      </c>
      <c r="C94" s="2" t="s">
        <v>260</v>
      </c>
      <c r="D94" s="2" t="s">
        <v>10</v>
      </c>
      <c r="E94" s="2" t="s">
        <v>218</v>
      </c>
      <c r="F94" s="4" t="s">
        <v>261</v>
      </c>
      <c r="G94" s="2" t="s">
        <v>28</v>
      </c>
      <c r="H94" s="2" t="s">
        <v>14</v>
      </c>
    </row>
    <row r="95" customFormat="false" ht="15" hidden="false" customHeight="false" outlineLevel="0" collapsed="false">
      <c r="A95" s="2" t="n">
        <v>94</v>
      </c>
      <c r="B95" s="5" t="s">
        <v>262</v>
      </c>
      <c r="C95" s="2" t="s">
        <v>263</v>
      </c>
      <c r="D95" s="2" t="s">
        <v>10</v>
      </c>
      <c r="E95" s="2" t="s">
        <v>218</v>
      </c>
      <c r="F95" s="2" t="s">
        <v>21</v>
      </c>
      <c r="G95" s="2" t="s">
        <v>28</v>
      </c>
      <c r="H95" s="2" t="s">
        <v>14</v>
      </c>
    </row>
    <row r="96" customFormat="false" ht="15" hidden="false" customHeight="false" outlineLevel="0" collapsed="false">
      <c r="A96" s="2" t="n">
        <v>95</v>
      </c>
      <c r="B96" s="5" t="s">
        <v>264</v>
      </c>
      <c r="C96" s="2" t="s">
        <v>265</v>
      </c>
      <c r="D96" s="2" t="s">
        <v>266</v>
      </c>
      <c r="E96" s="2" t="s">
        <v>218</v>
      </c>
      <c r="F96" s="2" t="s">
        <v>267</v>
      </c>
      <c r="G96" s="2" t="s">
        <v>13</v>
      </c>
      <c r="H96" s="2" t="s">
        <v>14</v>
      </c>
    </row>
    <row r="97" customFormat="false" ht="22.35" hidden="false" customHeight="false" outlineLevel="0" collapsed="false">
      <c r="A97" s="2" t="n">
        <v>96</v>
      </c>
      <c r="B97" s="5" t="s">
        <v>268</v>
      </c>
      <c r="C97" s="2" t="s">
        <v>269</v>
      </c>
      <c r="D97" s="2" t="s">
        <v>10</v>
      </c>
      <c r="E97" s="2" t="s">
        <v>218</v>
      </c>
      <c r="F97" s="2" t="s">
        <v>270</v>
      </c>
      <c r="G97" s="2" t="s">
        <v>28</v>
      </c>
      <c r="H97" s="2" t="s">
        <v>14</v>
      </c>
    </row>
    <row r="98" customFormat="false" ht="15" hidden="false" customHeight="false" outlineLevel="0" collapsed="false">
      <c r="A98" s="2" t="n">
        <v>97</v>
      </c>
      <c r="B98" s="5" t="s">
        <v>271</v>
      </c>
      <c r="C98" s="2" t="s">
        <v>272</v>
      </c>
      <c r="D98" s="2" t="s">
        <v>10</v>
      </c>
      <c r="E98" s="2" t="s">
        <v>218</v>
      </c>
      <c r="F98" s="2" t="s">
        <v>124</v>
      </c>
      <c r="G98" s="2" t="s">
        <v>13</v>
      </c>
      <c r="H98" s="2" t="s">
        <v>14</v>
      </c>
    </row>
    <row r="99" customFormat="false" ht="22.35" hidden="false" customHeight="false" outlineLevel="0" collapsed="false">
      <c r="A99" s="2" t="n">
        <v>98</v>
      </c>
      <c r="B99" s="5" t="s">
        <v>273</v>
      </c>
      <c r="C99" s="2" t="s">
        <v>274</v>
      </c>
      <c r="D99" s="2" t="s">
        <v>10</v>
      </c>
      <c r="E99" s="2" t="s">
        <v>218</v>
      </c>
      <c r="F99" s="2" t="s">
        <v>124</v>
      </c>
      <c r="G99" s="2" t="s">
        <v>13</v>
      </c>
      <c r="H99" s="2" t="s">
        <v>14</v>
      </c>
    </row>
    <row r="100" customFormat="false" ht="22.35" hidden="false" customHeight="false" outlineLevel="0" collapsed="false">
      <c r="A100" s="2" t="n">
        <v>99</v>
      </c>
      <c r="B100" s="5" t="s">
        <v>275</v>
      </c>
      <c r="C100" s="2" t="s">
        <v>276</v>
      </c>
      <c r="D100" s="2" t="s">
        <v>10</v>
      </c>
      <c r="E100" s="2" t="s">
        <v>218</v>
      </c>
      <c r="F100" s="2" t="s">
        <v>277</v>
      </c>
      <c r="G100" s="2" t="s">
        <v>28</v>
      </c>
      <c r="H100" s="2" t="s">
        <v>14</v>
      </c>
    </row>
    <row r="101" customFormat="false" ht="15" hidden="false" customHeight="false" outlineLevel="0" collapsed="false">
      <c r="A101" s="2" t="n">
        <v>100</v>
      </c>
      <c r="B101" s="5" t="s">
        <v>278</v>
      </c>
      <c r="C101" s="2" t="s">
        <v>279</v>
      </c>
      <c r="D101" s="2" t="s">
        <v>10</v>
      </c>
      <c r="E101" s="2" t="s">
        <v>280</v>
      </c>
      <c r="F101" s="2" t="s">
        <v>35</v>
      </c>
      <c r="G101" s="2" t="s">
        <v>28</v>
      </c>
      <c r="H101" s="2" t="s">
        <v>14</v>
      </c>
    </row>
    <row r="102" customFormat="false" ht="15" hidden="false" customHeight="false" outlineLevel="0" collapsed="false">
      <c r="A102" s="2" t="n">
        <v>101</v>
      </c>
      <c r="B102" s="5" t="s">
        <v>281</v>
      </c>
      <c r="C102" s="2" t="s">
        <v>282</v>
      </c>
      <c r="D102" s="2" t="s">
        <v>10</v>
      </c>
      <c r="E102" s="2" t="s">
        <v>218</v>
      </c>
      <c r="F102" s="2" t="s">
        <v>283</v>
      </c>
      <c r="G102" s="2" t="s">
        <v>28</v>
      </c>
      <c r="H102" s="2" t="s">
        <v>14</v>
      </c>
    </row>
    <row r="103" customFormat="false" ht="15" hidden="false" customHeight="false" outlineLevel="0" collapsed="false">
      <c r="A103" s="2" t="n">
        <v>102</v>
      </c>
      <c r="B103" s="5" t="s">
        <v>284</v>
      </c>
      <c r="C103" s="2" t="s">
        <v>285</v>
      </c>
      <c r="D103" s="2" t="s">
        <v>10</v>
      </c>
      <c r="E103" s="2" t="s">
        <v>218</v>
      </c>
      <c r="F103" s="2" t="s">
        <v>168</v>
      </c>
      <c r="G103" s="2" t="s">
        <v>13</v>
      </c>
      <c r="H103" s="2" t="s">
        <v>14</v>
      </c>
    </row>
    <row r="104" customFormat="false" ht="22.35" hidden="false" customHeight="false" outlineLevel="0" collapsed="false">
      <c r="A104" s="2" t="n">
        <v>103</v>
      </c>
      <c r="B104" s="5" t="s">
        <v>286</v>
      </c>
      <c r="C104" s="2" t="s">
        <v>287</v>
      </c>
      <c r="D104" s="2" t="s">
        <v>10</v>
      </c>
      <c r="E104" s="2" t="s">
        <v>218</v>
      </c>
      <c r="F104" s="2" t="s">
        <v>288</v>
      </c>
      <c r="G104" s="2" t="s">
        <v>13</v>
      </c>
      <c r="H104" s="2" t="s">
        <v>14</v>
      </c>
    </row>
    <row r="105" customFormat="false" ht="15" hidden="false" customHeight="false" outlineLevel="0" collapsed="false">
      <c r="A105" s="2" t="n">
        <v>104</v>
      </c>
      <c r="B105" s="5" t="s">
        <v>289</v>
      </c>
      <c r="C105" s="2" t="s">
        <v>290</v>
      </c>
      <c r="D105" s="2" t="s">
        <v>10</v>
      </c>
      <c r="E105" s="2" t="s">
        <v>218</v>
      </c>
      <c r="F105" s="2" t="s">
        <v>291</v>
      </c>
      <c r="G105" s="2" t="s">
        <v>28</v>
      </c>
      <c r="H105" s="2" t="s">
        <v>14</v>
      </c>
    </row>
    <row r="106" customFormat="false" ht="22.35" hidden="false" customHeight="false" outlineLevel="0" collapsed="false">
      <c r="A106" s="2" t="n">
        <v>105</v>
      </c>
      <c r="B106" s="5" t="s">
        <v>292</v>
      </c>
      <c r="C106" s="2" t="s">
        <v>293</v>
      </c>
      <c r="D106" s="2" t="s">
        <v>10</v>
      </c>
      <c r="E106" s="2" t="s">
        <v>218</v>
      </c>
      <c r="F106" s="2" t="s">
        <v>294</v>
      </c>
      <c r="G106" s="2" t="s">
        <v>28</v>
      </c>
      <c r="H106" s="2" t="s">
        <v>14</v>
      </c>
    </row>
    <row r="107" customFormat="false" ht="15" hidden="false" customHeight="false" outlineLevel="0" collapsed="false">
      <c r="A107" s="2" t="n">
        <v>106</v>
      </c>
      <c r="B107" s="5" t="s">
        <v>295</v>
      </c>
      <c r="C107" s="2" t="s">
        <v>296</v>
      </c>
      <c r="D107" s="2" t="s">
        <v>10</v>
      </c>
      <c r="E107" s="2" t="s">
        <v>218</v>
      </c>
      <c r="F107" s="2" t="s">
        <v>57</v>
      </c>
      <c r="G107" s="2" t="s">
        <v>28</v>
      </c>
      <c r="H107" s="2" t="s">
        <v>14</v>
      </c>
    </row>
    <row r="108" customFormat="false" ht="15" hidden="false" customHeight="false" outlineLevel="0" collapsed="false">
      <c r="A108" s="2" t="n">
        <v>107</v>
      </c>
      <c r="B108" s="5" t="s">
        <v>297</v>
      </c>
      <c r="C108" s="2" t="s">
        <v>298</v>
      </c>
      <c r="D108" s="2" t="s">
        <v>10</v>
      </c>
      <c r="E108" s="2" t="s">
        <v>218</v>
      </c>
      <c r="F108" s="2" t="s">
        <v>157</v>
      </c>
      <c r="G108" s="2" t="s">
        <v>13</v>
      </c>
      <c r="H108" s="2" t="s">
        <v>14</v>
      </c>
    </row>
    <row r="109" customFormat="false" ht="22.35" hidden="false" customHeight="false" outlineLevel="0" collapsed="false">
      <c r="A109" s="2" t="n">
        <v>108</v>
      </c>
      <c r="B109" s="5" t="s">
        <v>299</v>
      </c>
      <c r="C109" s="2" t="s">
        <v>300</v>
      </c>
      <c r="D109" s="2" t="s">
        <v>10</v>
      </c>
      <c r="E109" s="2" t="s">
        <v>218</v>
      </c>
      <c r="F109" s="2" t="s">
        <v>301</v>
      </c>
      <c r="G109" s="2" t="s">
        <v>13</v>
      </c>
      <c r="H109" s="2" t="s">
        <v>14</v>
      </c>
    </row>
    <row r="110" customFormat="false" ht="22.35" hidden="false" customHeight="false" outlineLevel="0" collapsed="false">
      <c r="A110" s="2" t="n">
        <v>109</v>
      </c>
      <c r="B110" s="5" t="s">
        <v>302</v>
      </c>
      <c r="C110" s="2" t="s">
        <v>303</v>
      </c>
      <c r="D110" s="2" t="s">
        <v>10</v>
      </c>
      <c r="E110" s="2" t="s">
        <v>218</v>
      </c>
      <c r="F110" s="2" t="s">
        <v>70</v>
      </c>
      <c r="G110" s="2" t="s">
        <v>13</v>
      </c>
      <c r="H110" s="2" t="s">
        <v>14</v>
      </c>
    </row>
    <row r="111" customFormat="false" ht="15" hidden="false" customHeight="false" outlineLevel="0" collapsed="false">
      <c r="A111" s="2" t="n">
        <v>110</v>
      </c>
      <c r="B111" s="5" t="s">
        <v>304</v>
      </c>
      <c r="C111" s="2" t="s">
        <v>305</v>
      </c>
      <c r="D111" s="2" t="s">
        <v>10</v>
      </c>
      <c r="E111" s="2" t="s">
        <v>218</v>
      </c>
      <c r="F111" s="2" t="s">
        <v>191</v>
      </c>
      <c r="G111" s="2" t="s">
        <v>13</v>
      </c>
      <c r="H111" s="2" t="s">
        <v>14</v>
      </c>
    </row>
    <row r="112" customFormat="false" ht="15" hidden="false" customHeight="false" outlineLevel="0" collapsed="false">
      <c r="A112" s="2" t="n">
        <v>111</v>
      </c>
      <c r="B112" s="5" t="s">
        <v>306</v>
      </c>
      <c r="C112" s="2" t="s">
        <v>307</v>
      </c>
      <c r="D112" s="2" t="s">
        <v>10</v>
      </c>
      <c r="E112" s="2" t="s">
        <v>218</v>
      </c>
      <c r="F112" s="2" t="s">
        <v>308</v>
      </c>
      <c r="G112" s="2" t="s">
        <v>13</v>
      </c>
      <c r="H112" s="2" t="s">
        <v>14</v>
      </c>
    </row>
    <row r="113" customFormat="false" ht="15" hidden="false" customHeight="false" outlineLevel="0" collapsed="false">
      <c r="A113" s="2" t="n">
        <v>112</v>
      </c>
      <c r="B113" s="5" t="s">
        <v>309</v>
      </c>
      <c r="C113" s="2" t="s">
        <v>310</v>
      </c>
      <c r="D113" s="2" t="s">
        <v>10</v>
      </c>
      <c r="E113" s="2" t="s">
        <v>235</v>
      </c>
      <c r="F113" s="2" t="s">
        <v>311</v>
      </c>
      <c r="G113" s="2" t="s">
        <v>13</v>
      </c>
      <c r="H113" s="2" t="s">
        <v>14</v>
      </c>
    </row>
    <row r="114" customFormat="false" ht="22.35" hidden="false" customHeight="false" outlineLevel="0" collapsed="false">
      <c r="A114" s="2" t="n">
        <v>113</v>
      </c>
      <c r="B114" s="5" t="s">
        <v>312</v>
      </c>
      <c r="C114" s="2" t="s">
        <v>313</v>
      </c>
      <c r="D114" s="2" t="s">
        <v>10</v>
      </c>
      <c r="E114" s="2" t="s">
        <v>225</v>
      </c>
      <c r="F114" s="2" t="s">
        <v>314</v>
      </c>
      <c r="G114" s="2" t="s">
        <v>13</v>
      </c>
      <c r="H114" s="2" t="s">
        <v>14</v>
      </c>
    </row>
    <row r="115" customFormat="false" ht="22.35" hidden="false" customHeight="false" outlineLevel="0" collapsed="false">
      <c r="A115" s="2" t="n">
        <v>114</v>
      </c>
      <c r="B115" s="5" t="s">
        <v>315</v>
      </c>
      <c r="C115" s="2" t="s">
        <v>316</v>
      </c>
      <c r="D115" s="2" t="s">
        <v>10</v>
      </c>
      <c r="E115" s="2" t="s">
        <v>235</v>
      </c>
      <c r="F115" s="2" t="s">
        <v>317</v>
      </c>
      <c r="G115" s="2" t="s">
        <v>13</v>
      </c>
      <c r="H115" s="2" t="s">
        <v>14</v>
      </c>
    </row>
    <row r="116" customFormat="false" ht="15" hidden="false" customHeight="false" outlineLevel="0" collapsed="false">
      <c r="A116" s="2" t="n">
        <v>115</v>
      </c>
      <c r="B116" s="5" t="s">
        <v>318</v>
      </c>
      <c r="C116" s="2" t="s">
        <v>319</v>
      </c>
      <c r="D116" s="2" t="s">
        <v>10</v>
      </c>
      <c r="E116" s="2" t="s">
        <v>218</v>
      </c>
      <c r="F116" s="2" t="s">
        <v>25</v>
      </c>
      <c r="G116" s="2" t="s">
        <v>13</v>
      </c>
      <c r="H116" s="2" t="s">
        <v>14</v>
      </c>
    </row>
    <row r="117" customFormat="false" ht="15" hidden="false" customHeight="false" outlineLevel="0" collapsed="false">
      <c r="A117" s="2" t="n">
        <v>116</v>
      </c>
      <c r="B117" s="5" t="s">
        <v>320</v>
      </c>
      <c r="C117" s="2" t="s">
        <v>321</v>
      </c>
      <c r="D117" s="2" t="s">
        <v>10</v>
      </c>
      <c r="E117" s="2" t="s">
        <v>218</v>
      </c>
      <c r="F117" s="2" t="s">
        <v>322</v>
      </c>
      <c r="G117" s="2" t="s">
        <v>13</v>
      </c>
      <c r="H117" s="2" t="s">
        <v>14</v>
      </c>
    </row>
    <row r="118" customFormat="false" ht="22.35" hidden="false" customHeight="false" outlineLevel="0" collapsed="false">
      <c r="A118" s="2" t="n">
        <v>117</v>
      </c>
      <c r="B118" s="5" t="s">
        <v>323</v>
      </c>
      <c r="C118" s="2" t="s">
        <v>324</v>
      </c>
      <c r="D118" s="2" t="s">
        <v>10</v>
      </c>
      <c r="E118" s="2" t="s">
        <v>218</v>
      </c>
      <c r="F118" s="2" t="s">
        <v>325</v>
      </c>
      <c r="G118" s="2" t="s">
        <v>28</v>
      </c>
      <c r="H118" s="2" t="s">
        <v>14</v>
      </c>
    </row>
    <row r="119" customFormat="false" ht="22.35" hidden="false" customHeight="false" outlineLevel="0" collapsed="false">
      <c r="A119" s="2" t="n">
        <v>118</v>
      </c>
      <c r="B119" s="5" t="s">
        <v>326</v>
      </c>
      <c r="C119" s="2" t="s">
        <v>327</v>
      </c>
      <c r="D119" s="2" t="s">
        <v>10</v>
      </c>
      <c r="E119" s="2" t="s">
        <v>218</v>
      </c>
      <c r="F119" s="2" t="s">
        <v>124</v>
      </c>
      <c r="G119" s="2" t="s">
        <v>28</v>
      </c>
      <c r="H119" s="2" t="s">
        <v>14</v>
      </c>
    </row>
    <row r="120" customFormat="false" ht="15" hidden="false" customHeight="false" outlineLevel="0" collapsed="false">
      <c r="A120" s="2" t="n">
        <v>119</v>
      </c>
      <c r="B120" s="5" t="s">
        <v>328</v>
      </c>
      <c r="C120" s="2" t="s">
        <v>329</v>
      </c>
      <c r="D120" s="2" t="s">
        <v>10</v>
      </c>
      <c r="E120" s="2" t="s">
        <v>218</v>
      </c>
      <c r="F120" s="2" t="s">
        <v>330</v>
      </c>
      <c r="G120" s="2" t="s">
        <v>28</v>
      </c>
      <c r="H120" s="2" t="s">
        <v>14</v>
      </c>
    </row>
    <row r="121" customFormat="false" ht="15" hidden="false" customHeight="false" outlineLevel="0" collapsed="false">
      <c r="A121" s="2" t="n">
        <v>120</v>
      </c>
      <c r="B121" s="5" t="s">
        <v>331</v>
      </c>
      <c r="C121" s="2" t="s">
        <v>332</v>
      </c>
      <c r="D121" s="2" t="s">
        <v>10</v>
      </c>
      <c r="E121" s="2" t="s">
        <v>218</v>
      </c>
      <c r="F121" s="2" t="s">
        <v>92</v>
      </c>
      <c r="G121" s="2" t="s">
        <v>28</v>
      </c>
      <c r="H121" s="2" t="s">
        <v>14</v>
      </c>
    </row>
    <row r="122" customFormat="false" ht="15" hidden="false" customHeight="false" outlineLevel="0" collapsed="false">
      <c r="A122" s="2" t="n">
        <v>121</v>
      </c>
      <c r="B122" s="5" t="s">
        <v>333</v>
      </c>
      <c r="C122" s="2" t="s">
        <v>332</v>
      </c>
      <c r="D122" s="2" t="s">
        <v>10</v>
      </c>
      <c r="E122" s="2" t="s">
        <v>218</v>
      </c>
      <c r="F122" s="2" t="s">
        <v>21</v>
      </c>
      <c r="G122" s="2" t="s">
        <v>28</v>
      </c>
      <c r="H122" s="2" t="s">
        <v>14</v>
      </c>
    </row>
    <row r="123" customFormat="false" ht="22.35" hidden="false" customHeight="false" outlineLevel="0" collapsed="false">
      <c r="A123" s="2" t="n">
        <v>122</v>
      </c>
      <c r="B123" s="5" t="s">
        <v>334</v>
      </c>
      <c r="C123" s="2" t="s">
        <v>335</v>
      </c>
      <c r="D123" s="2" t="s">
        <v>10</v>
      </c>
      <c r="E123" s="2" t="s">
        <v>218</v>
      </c>
      <c r="F123" s="2" t="s">
        <v>157</v>
      </c>
      <c r="G123" s="2" t="s">
        <v>28</v>
      </c>
      <c r="H123" s="2" t="s">
        <v>14</v>
      </c>
    </row>
    <row r="124" customFormat="false" ht="22.35" hidden="false" customHeight="false" outlineLevel="0" collapsed="false">
      <c r="A124" s="2" t="n">
        <v>123</v>
      </c>
      <c r="B124" s="5" t="s">
        <v>336</v>
      </c>
      <c r="C124" s="2" t="s">
        <v>337</v>
      </c>
      <c r="D124" s="2" t="s">
        <v>10</v>
      </c>
      <c r="E124" s="2" t="s">
        <v>218</v>
      </c>
      <c r="F124" s="2" t="s">
        <v>338</v>
      </c>
      <c r="G124" s="2" t="s">
        <v>28</v>
      </c>
      <c r="H124" s="2" t="s">
        <v>14</v>
      </c>
    </row>
    <row r="125" customFormat="false" ht="15" hidden="false" customHeight="false" outlineLevel="0" collapsed="false">
      <c r="A125" s="2" t="n">
        <v>124</v>
      </c>
      <c r="B125" s="5" t="s">
        <v>339</v>
      </c>
      <c r="C125" s="2" t="s">
        <v>340</v>
      </c>
      <c r="D125" s="2" t="s">
        <v>10</v>
      </c>
      <c r="E125" s="2" t="s">
        <v>218</v>
      </c>
      <c r="F125" s="2" t="s">
        <v>191</v>
      </c>
      <c r="G125" s="2" t="s">
        <v>28</v>
      </c>
      <c r="H125" s="2" t="s">
        <v>14</v>
      </c>
    </row>
    <row r="126" customFormat="false" ht="15" hidden="false" customHeight="false" outlineLevel="0" collapsed="false">
      <c r="A126" s="2" t="n">
        <v>125</v>
      </c>
      <c r="B126" s="5" t="s">
        <v>341</v>
      </c>
      <c r="C126" s="2" t="s">
        <v>342</v>
      </c>
      <c r="D126" s="2" t="s">
        <v>10</v>
      </c>
      <c r="E126" s="2" t="s">
        <v>218</v>
      </c>
      <c r="F126" s="2" t="s">
        <v>343</v>
      </c>
      <c r="G126" s="2" t="s">
        <v>28</v>
      </c>
      <c r="H126" s="2" t="s">
        <v>14</v>
      </c>
    </row>
    <row r="127" customFormat="false" ht="15" hidden="false" customHeight="false" outlineLevel="0" collapsed="false">
      <c r="A127" s="2" t="n">
        <v>126</v>
      </c>
      <c r="B127" s="5" t="s">
        <v>344</v>
      </c>
      <c r="C127" s="2" t="s">
        <v>345</v>
      </c>
      <c r="D127" s="2" t="s">
        <v>10</v>
      </c>
      <c r="E127" s="2" t="s">
        <v>218</v>
      </c>
      <c r="F127" s="2" t="s">
        <v>27</v>
      </c>
      <c r="G127" s="2" t="s">
        <v>13</v>
      </c>
      <c r="H127" s="2" t="s">
        <v>14</v>
      </c>
    </row>
    <row r="128" customFormat="false" ht="22.35" hidden="false" customHeight="false" outlineLevel="0" collapsed="false">
      <c r="A128" s="2" t="n">
        <v>127</v>
      </c>
      <c r="B128" s="5" t="s">
        <v>346</v>
      </c>
      <c r="C128" s="2" t="s">
        <v>347</v>
      </c>
      <c r="D128" s="2" t="s">
        <v>10</v>
      </c>
      <c r="E128" s="2" t="s">
        <v>218</v>
      </c>
      <c r="F128" s="2" t="s">
        <v>31</v>
      </c>
      <c r="G128" s="2" t="s">
        <v>28</v>
      </c>
      <c r="H128" s="2" t="s">
        <v>14</v>
      </c>
    </row>
    <row r="129" customFormat="false" ht="22.35" hidden="false" customHeight="false" outlineLevel="0" collapsed="false">
      <c r="A129" s="2" t="n">
        <v>128</v>
      </c>
      <c r="B129" s="5" t="s">
        <v>348</v>
      </c>
      <c r="C129" s="2" t="s">
        <v>349</v>
      </c>
      <c r="D129" s="2" t="s">
        <v>10</v>
      </c>
      <c r="E129" s="2" t="s">
        <v>218</v>
      </c>
      <c r="F129" s="2" t="s">
        <v>350</v>
      </c>
      <c r="G129" s="2" t="s">
        <v>28</v>
      </c>
      <c r="H129" s="2" t="s">
        <v>14</v>
      </c>
    </row>
    <row r="130" customFormat="false" ht="22.35" hidden="false" customHeight="false" outlineLevel="0" collapsed="false">
      <c r="A130" s="2" t="n">
        <v>129</v>
      </c>
      <c r="B130" s="5" t="s">
        <v>351</v>
      </c>
      <c r="C130" s="2" t="s">
        <v>352</v>
      </c>
      <c r="D130" s="2" t="s">
        <v>10</v>
      </c>
      <c r="E130" s="2" t="s">
        <v>218</v>
      </c>
      <c r="F130" s="2" t="s">
        <v>353</v>
      </c>
      <c r="G130" s="2" t="s">
        <v>13</v>
      </c>
      <c r="H130" s="2" t="s">
        <v>14</v>
      </c>
    </row>
    <row r="131" customFormat="false" ht="22.35" hidden="false" customHeight="false" outlineLevel="0" collapsed="false">
      <c r="A131" s="2" t="n">
        <v>130</v>
      </c>
      <c r="B131" s="5" t="s">
        <v>354</v>
      </c>
      <c r="C131" s="2" t="s">
        <v>355</v>
      </c>
      <c r="D131" s="2" t="s">
        <v>10</v>
      </c>
      <c r="E131" s="2" t="s">
        <v>218</v>
      </c>
      <c r="F131" s="2" t="s">
        <v>356</v>
      </c>
      <c r="G131" s="2" t="s">
        <v>13</v>
      </c>
      <c r="H131" s="2" t="s">
        <v>14</v>
      </c>
    </row>
    <row r="132" customFormat="false" ht="22.35" hidden="false" customHeight="false" outlineLevel="0" collapsed="false">
      <c r="A132" s="2" t="n">
        <v>131</v>
      </c>
      <c r="B132" s="5" t="s">
        <v>357</v>
      </c>
      <c r="C132" s="2" t="s">
        <v>358</v>
      </c>
      <c r="D132" s="2" t="s">
        <v>10</v>
      </c>
      <c r="E132" s="2" t="s">
        <v>218</v>
      </c>
      <c r="F132" s="2" t="s">
        <v>359</v>
      </c>
      <c r="G132" s="2" t="s">
        <v>13</v>
      </c>
      <c r="H132" s="2" t="s">
        <v>14</v>
      </c>
    </row>
    <row r="133" customFormat="false" ht="22.35" hidden="false" customHeight="false" outlineLevel="0" collapsed="false">
      <c r="A133" s="2" t="n">
        <v>132</v>
      </c>
      <c r="B133" s="5" t="s">
        <v>360</v>
      </c>
      <c r="C133" s="2" t="s">
        <v>361</v>
      </c>
      <c r="D133" s="2" t="s">
        <v>10</v>
      </c>
      <c r="E133" s="2" t="s">
        <v>218</v>
      </c>
      <c r="F133" s="2" t="s">
        <v>27</v>
      </c>
      <c r="G133" s="2" t="s">
        <v>28</v>
      </c>
      <c r="H133" s="2" t="s">
        <v>14</v>
      </c>
    </row>
    <row r="134" customFormat="false" ht="22.35" hidden="false" customHeight="false" outlineLevel="0" collapsed="false">
      <c r="A134" s="2" t="n">
        <v>133</v>
      </c>
      <c r="B134" s="5" t="s">
        <v>362</v>
      </c>
      <c r="C134" s="2" t="s">
        <v>363</v>
      </c>
      <c r="D134" s="2" t="s">
        <v>10</v>
      </c>
      <c r="E134" s="2" t="s">
        <v>218</v>
      </c>
      <c r="F134" s="2" t="s">
        <v>364</v>
      </c>
      <c r="G134" s="2" t="s">
        <v>13</v>
      </c>
      <c r="H134" s="2" t="s">
        <v>14</v>
      </c>
    </row>
    <row r="135" customFormat="false" ht="15" hidden="false" customHeight="false" outlineLevel="0" collapsed="false">
      <c r="A135" s="2" t="n">
        <v>134</v>
      </c>
      <c r="B135" s="5" t="s">
        <v>365</v>
      </c>
      <c r="C135" s="2" t="s">
        <v>366</v>
      </c>
      <c r="D135" s="2" t="s">
        <v>10</v>
      </c>
      <c r="E135" s="2" t="s">
        <v>367</v>
      </c>
      <c r="F135" s="2" t="s">
        <v>368</v>
      </c>
      <c r="G135" s="2" t="s">
        <v>13</v>
      </c>
      <c r="H135" s="2" t="s">
        <v>14</v>
      </c>
    </row>
    <row r="136" customFormat="false" ht="22.35" hidden="false" customHeight="false" outlineLevel="0" collapsed="false">
      <c r="A136" s="2" t="n">
        <v>135</v>
      </c>
      <c r="B136" s="5" t="s">
        <v>369</v>
      </c>
      <c r="C136" s="2" t="s">
        <v>370</v>
      </c>
      <c r="D136" s="2" t="s">
        <v>10</v>
      </c>
      <c r="E136" s="2" t="s">
        <v>218</v>
      </c>
      <c r="F136" s="2" t="s">
        <v>371</v>
      </c>
      <c r="G136" s="2" t="s">
        <v>13</v>
      </c>
      <c r="H136" s="2" t="s">
        <v>14</v>
      </c>
    </row>
    <row r="137" customFormat="false" ht="22.35" hidden="false" customHeight="false" outlineLevel="0" collapsed="false">
      <c r="A137" s="2" t="n">
        <v>136</v>
      </c>
      <c r="B137" s="5" t="s">
        <v>372</v>
      </c>
      <c r="C137" s="2" t="s">
        <v>373</v>
      </c>
      <c r="D137" s="2" t="s">
        <v>10</v>
      </c>
      <c r="E137" s="2" t="s">
        <v>374</v>
      </c>
      <c r="F137" s="2" t="s">
        <v>81</v>
      </c>
      <c r="G137" s="2" t="s">
        <v>13</v>
      </c>
      <c r="H137" s="2" t="s">
        <v>14</v>
      </c>
    </row>
    <row r="138" customFormat="false" ht="22.35" hidden="false" customHeight="false" outlineLevel="0" collapsed="false">
      <c r="A138" s="2" t="n">
        <v>137</v>
      </c>
      <c r="B138" s="5" t="s">
        <v>375</v>
      </c>
      <c r="C138" s="2" t="s">
        <v>376</v>
      </c>
      <c r="D138" s="2" t="s">
        <v>10</v>
      </c>
      <c r="E138" s="2" t="s">
        <v>218</v>
      </c>
      <c r="F138" s="2" t="s">
        <v>377</v>
      </c>
      <c r="G138" s="2" t="s">
        <v>13</v>
      </c>
      <c r="H138" s="2" t="s">
        <v>14</v>
      </c>
    </row>
    <row r="139" customFormat="false" ht="15" hidden="false" customHeight="false" outlineLevel="0" collapsed="false">
      <c r="A139" s="2" t="n">
        <v>138</v>
      </c>
      <c r="B139" s="5" t="s">
        <v>378</v>
      </c>
      <c r="C139" s="2" t="s">
        <v>379</v>
      </c>
      <c r="D139" s="2" t="s">
        <v>10</v>
      </c>
      <c r="E139" s="2" t="s">
        <v>218</v>
      </c>
      <c r="F139" s="2" t="s">
        <v>70</v>
      </c>
      <c r="G139" s="2" t="s">
        <v>13</v>
      </c>
      <c r="H139" s="2" t="s">
        <v>14</v>
      </c>
    </row>
    <row r="140" customFormat="false" ht="15" hidden="false" customHeight="false" outlineLevel="0" collapsed="false">
      <c r="A140" s="2" t="n">
        <v>139</v>
      </c>
      <c r="B140" s="5" t="s">
        <v>380</v>
      </c>
      <c r="C140" s="2" t="s">
        <v>381</v>
      </c>
      <c r="D140" s="2" t="s">
        <v>10</v>
      </c>
      <c r="E140" s="2" t="s">
        <v>382</v>
      </c>
      <c r="F140" s="2" t="s">
        <v>383</v>
      </c>
      <c r="G140" s="2" t="s">
        <v>13</v>
      </c>
      <c r="H140" s="2" t="s">
        <v>14</v>
      </c>
    </row>
    <row r="141" customFormat="false" ht="15" hidden="false" customHeight="false" outlineLevel="0" collapsed="false">
      <c r="A141" s="2" t="n">
        <v>140</v>
      </c>
      <c r="B141" s="3" t="s">
        <v>384</v>
      </c>
      <c r="C141" s="2" t="s">
        <v>385</v>
      </c>
      <c r="D141" s="2" t="s">
        <v>10</v>
      </c>
      <c r="E141" s="2" t="s">
        <v>218</v>
      </c>
      <c r="F141" s="4" t="s">
        <v>386</v>
      </c>
      <c r="G141" s="2" t="s">
        <v>28</v>
      </c>
      <c r="H141" s="2" t="s">
        <v>14</v>
      </c>
    </row>
    <row r="142" customFormat="false" ht="15" hidden="false" customHeight="false" outlineLevel="0" collapsed="false">
      <c r="A142" s="2" t="n">
        <v>141</v>
      </c>
      <c r="B142" s="5" t="s">
        <v>387</v>
      </c>
      <c r="C142" s="2" t="s">
        <v>388</v>
      </c>
      <c r="D142" s="2" t="s">
        <v>10</v>
      </c>
      <c r="E142" s="2" t="s">
        <v>235</v>
      </c>
      <c r="F142" s="2" t="s">
        <v>157</v>
      </c>
      <c r="G142" s="2" t="s">
        <v>13</v>
      </c>
      <c r="H142" s="2" t="s">
        <v>14</v>
      </c>
    </row>
    <row r="143" customFormat="false" ht="15" hidden="false" customHeight="false" outlineLevel="0" collapsed="false">
      <c r="A143" s="2" t="n">
        <v>142</v>
      </c>
      <c r="B143" s="5" t="s">
        <v>389</v>
      </c>
      <c r="C143" s="2" t="s">
        <v>390</v>
      </c>
      <c r="D143" s="2" t="s">
        <v>391</v>
      </c>
      <c r="E143" s="2" t="s">
        <v>392</v>
      </c>
      <c r="F143" s="2" t="s">
        <v>188</v>
      </c>
      <c r="G143" s="2" t="s">
        <v>13</v>
      </c>
      <c r="H143" s="2" t="s">
        <v>14</v>
      </c>
    </row>
    <row r="144" customFormat="false" ht="15" hidden="false" customHeight="false" outlineLevel="0" collapsed="false">
      <c r="A144" s="2" t="n">
        <v>143</v>
      </c>
      <c r="B144" s="3" t="s">
        <v>393</v>
      </c>
      <c r="C144" s="2" t="s">
        <v>394</v>
      </c>
      <c r="D144" s="2" t="s">
        <v>391</v>
      </c>
      <c r="E144" s="2" t="s">
        <v>395</v>
      </c>
      <c r="F144" s="4" t="s">
        <v>214</v>
      </c>
      <c r="G144" s="2" t="s">
        <v>13</v>
      </c>
      <c r="H144" s="2" t="s">
        <v>14</v>
      </c>
    </row>
    <row r="145" customFormat="false" ht="22.35" hidden="false" customHeight="false" outlineLevel="0" collapsed="false">
      <c r="A145" s="2" t="n">
        <v>144</v>
      </c>
      <c r="B145" s="5" t="s">
        <v>396</v>
      </c>
      <c r="C145" s="2" t="s">
        <v>397</v>
      </c>
      <c r="D145" s="2" t="s">
        <v>10</v>
      </c>
      <c r="E145" s="2" t="s">
        <v>398</v>
      </c>
      <c r="F145" s="2" t="s">
        <v>399</v>
      </c>
      <c r="G145" s="2" t="s">
        <v>13</v>
      </c>
      <c r="H145" s="2" t="s">
        <v>14</v>
      </c>
    </row>
    <row r="146" customFormat="false" ht="15" hidden="false" customHeight="false" outlineLevel="0" collapsed="false">
      <c r="A146" s="2" t="n">
        <v>145</v>
      </c>
      <c r="B146" s="5" t="s">
        <v>400</v>
      </c>
      <c r="C146" s="2" t="s">
        <v>401</v>
      </c>
      <c r="D146" s="2" t="s">
        <v>10</v>
      </c>
      <c r="E146" s="2" t="s">
        <v>225</v>
      </c>
      <c r="F146" s="2" t="s">
        <v>105</v>
      </c>
      <c r="G146" s="2" t="s">
        <v>13</v>
      </c>
      <c r="H146" s="2" t="s">
        <v>14</v>
      </c>
    </row>
    <row r="147" customFormat="false" ht="15" hidden="false" customHeight="false" outlineLevel="0" collapsed="false">
      <c r="A147" s="2" t="n">
        <v>146</v>
      </c>
      <c r="B147" s="5" t="s">
        <v>402</v>
      </c>
      <c r="C147" s="2" t="s">
        <v>403</v>
      </c>
      <c r="D147" s="2" t="s">
        <v>10</v>
      </c>
      <c r="E147" s="2" t="s">
        <v>218</v>
      </c>
      <c r="F147" s="2" t="s">
        <v>191</v>
      </c>
      <c r="G147" s="2" t="s">
        <v>13</v>
      </c>
      <c r="H147" s="2" t="s">
        <v>14</v>
      </c>
    </row>
    <row r="148" customFormat="false" ht="15" hidden="false" customHeight="false" outlineLevel="0" collapsed="false">
      <c r="A148" s="2" t="n">
        <v>147</v>
      </c>
      <c r="B148" s="5" t="s">
        <v>404</v>
      </c>
      <c r="C148" s="2" t="s">
        <v>405</v>
      </c>
      <c r="D148" s="2" t="s">
        <v>266</v>
      </c>
      <c r="E148" s="2" t="s">
        <v>218</v>
      </c>
      <c r="F148" s="2" t="s">
        <v>157</v>
      </c>
      <c r="G148" s="2" t="s">
        <v>13</v>
      </c>
      <c r="H148" s="2" t="s">
        <v>14</v>
      </c>
    </row>
    <row r="149" customFormat="false" ht="15" hidden="false" customHeight="false" outlineLevel="0" collapsed="false">
      <c r="A149" s="2" t="n">
        <v>148</v>
      </c>
      <c r="B149" s="5" t="s">
        <v>406</v>
      </c>
      <c r="C149" s="2" t="s">
        <v>407</v>
      </c>
      <c r="D149" s="2" t="s">
        <v>10</v>
      </c>
      <c r="E149" s="2" t="s">
        <v>218</v>
      </c>
      <c r="F149" s="2" t="s">
        <v>157</v>
      </c>
      <c r="G149" s="2" t="s">
        <v>13</v>
      </c>
      <c r="H149" s="2" t="s">
        <v>14</v>
      </c>
    </row>
    <row r="150" customFormat="false" ht="22.35" hidden="false" customHeight="false" outlineLevel="0" collapsed="false">
      <c r="A150" s="2" t="n">
        <v>149</v>
      </c>
      <c r="B150" s="5" t="s">
        <v>408</v>
      </c>
      <c r="C150" s="2" t="s">
        <v>409</v>
      </c>
      <c r="D150" s="2" t="s">
        <v>266</v>
      </c>
      <c r="E150" s="2" t="s">
        <v>218</v>
      </c>
      <c r="F150" s="2" t="s">
        <v>410</v>
      </c>
      <c r="G150" s="2" t="s">
        <v>28</v>
      </c>
      <c r="H150" s="2" t="s">
        <v>14</v>
      </c>
    </row>
    <row r="151" customFormat="false" ht="22.35" hidden="false" customHeight="false" outlineLevel="0" collapsed="false">
      <c r="A151" s="2" t="n">
        <v>150</v>
      </c>
      <c r="B151" s="5" t="s">
        <v>411</v>
      </c>
      <c r="C151" s="2" t="s">
        <v>412</v>
      </c>
      <c r="D151" s="2" t="s">
        <v>266</v>
      </c>
      <c r="E151" s="2" t="s">
        <v>218</v>
      </c>
      <c r="F151" s="2" t="s">
        <v>413</v>
      </c>
      <c r="G151" s="2" t="s">
        <v>13</v>
      </c>
      <c r="H151" s="2" t="s">
        <v>14</v>
      </c>
    </row>
    <row r="152" customFormat="false" ht="22.35" hidden="false" customHeight="false" outlineLevel="0" collapsed="false">
      <c r="A152" s="2" t="n">
        <v>151</v>
      </c>
      <c r="B152" s="5" t="s">
        <v>414</v>
      </c>
      <c r="C152" s="2" t="s">
        <v>415</v>
      </c>
      <c r="D152" s="2" t="s">
        <v>266</v>
      </c>
      <c r="E152" s="2" t="s">
        <v>218</v>
      </c>
      <c r="F152" s="2" t="s">
        <v>416</v>
      </c>
      <c r="G152" s="2" t="s">
        <v>28</v>
      </c>
      <c r="H152" s="2" t="s">
        <v>417</v>
      </c>
    </row>
    <row r="153" customFormat="false" ht="22.35" hidden="false" customHeight="false" outlineLevel="0" collapsed="false">
      <c r="A153" s="2" t="n">
        <v>152</v>
      </c>
      <c r="B153" s="5" t="s">
        <v>418</v>
      </c>
      <c r="C153" s="2" t="s">
        <v>419</v>
      </c>
      <c r="D153" s="2" t="s">
        <v>10</v>
      </c>
      <c r="E153" s="2" t="s">
        <v>218</v>
      </c>
      <c r="F153" s="2" t="s">
        <v>57</v>
      </c>
      <c r="G153" s="2" t="s">
        <v>28</v>
      </c>
      <c r="H153" s="2" t="s">
        <v>14</v>
      </c>
    </row>
    <row r="154" customFormat="false" ht="22.35" hidden="false" customHeight="false" outlineLevel="0" collapsed="false">
      <c r="A154" s="2" t="n">
        <v>153</v>
      </c>
      <c r="B154" s="5" t="s">
        <v>420</v>
      </c>
      <c r="C154" s="2" t="s">
        <v>421</v>
      </c>
      <c r="D154" s="2" t="s">
        <v>266</v>
      </c>
      <c r="E154" s="2" t="s">
        <v>218</v>
      </c>
      <c r="F154" s="2" t="s">
        <v>422</v>
      </c>
      <c r="G154" s="2" t="s">
        <v>28</v>
      </c>
      <c r="H154" s="2" t="s">
        <v>14</v>
      </c>
    </row>
    <row r="155" customFormat="false" ht="22.35" hidden="false" customHeight="false" outlineLevel="0" collapsed="false">
      <c r="A155" s="2" t="n">
        <v>154</v>
      </c>
      <c r="B155" s="5" t="s">
        <v>423</v>
      </c>
      <c r="C155" s="2" t="s">
        <v>424</v>
      </c>
      <c r="D155" s="2" t="s">
        <v>266</v>
      </c>
      <c r="E155" s="2" t="s">
        <v>218</v>
      </c>
      <c r="F155" s="2" t="s">
        <v>57</v>
      </c>
      <c r="G155" s="2" t="s">
        <v>28</v>
      </c>
      <c r="H155" s="2" t="s">
        <v>14</v>
      </c>
    </row>
    <row r="156" customFormat="false" ht="22.35" hidden="false" customHeight="false" outlineLevel="0" collapsed="false">
      <c r="A156" s="2" t="n">
        <v>155</v>
      </c>
      <c r="B156" s="5" t="s">
        <v>425</v>
      </c>
      <c r="C156" s="2" t="s">
        <v>426</v>
      </c>
      <c r="D156" s="2" t="s">
        <v>266</v>
      </c>
      <c r="E156" s="2" t="s">
        <v>218</v>
      </c>
      <c r="F156" s="2" t="s">
        <v>353</v>
      </c>
      <c r="G156" s="2" t="s">
        <v>28</v>
      </c>
      <c r="H156" s="2" t="s">
        <v>14</v>
      </c>
    </row>
    <row r="157" customFormat="false" ht="22.35" hidden="false" customHeight="false" outlineLevel="0" collapsed="false">
      <c r="A157" s="2" t="n">
        <v>156</v>
      </c>
      <c r="B157" s="5" t="s">
        <v>427</v>
      </c>
      <c r="C157" s="2" t="s">
        <v>428</v>
      </c>
      <c r="D157" s="2" t="s">
        <v>266</v>
      </c>
      <c r="E157" s="2" t="s">
        <v>218</v>
      </c>
      <c r="F157" s="2" t="s">
        <v>429</v>
      </c>
      <c r="G157" s="2" t="s">
        <v>28</v>
      </c>
      <c r="H157" s="2" t="s">
        <v>14</v>
      </c>
    </row>
    <row r="158" customFormat="false" ht="22.35" hidden="false" customHeight="false" outlineLevel="0" collapsed="false">
      <c r="A158" s="2" t="n">
        <v>157</v>
      </c>
      <c r="B158" s="5" t="s">
        <v>430</v>
      </c>
      <c r="C158" s="2" t="s">
        <v>431</v>
      </c>
      <c r="D158" s="2" t="s">
        <v>266</v>
      </c>
      <c r="E158" s="2" t="s">
        <v>218</v>
      </c>
      <c r="F158" s="2" t="s">
        <v>57</v>
      </c>
      <c r="G158" s="2" t="s">
        <v>28</v>
      </c>
      <c r="H158" s="2" t="s">
        <v>14</v>
      </c>
    </row>
    <row r="159" customFormat="false" ht="15" hidden="false" customHeight="false" outlineLevel="0" collapsed="false">
      <c r="A159" s="2" t="n">
        <v>158</v>
      </c>
      <c r="B159" s="5" t="s">
        <v>432</v>
      </c>
      <c r="C159" s="2" t="s">
        <v>433</v>
      </c>
      <c r="D159" s="2" t="s">
        <v>266</v>
      </c>
      <c r="E159" s="2" t="s">
        <v>218</v>
      </c>
      <c r="F159" s="2" t="s">
        <v>270</v>
      </c>
      <c r="G159" s="2" t="s">
        <v>28</v>
      </c>
      <c r="H159" s="2" t="s">
        <v>14</v>
      </c>
    </row>
    <row r="160" customFormat="false" ht="22.35" hidden="false" customHeight="false" outlineLevel="0" collapsed="false">
      <c r="A160" s="2" t="n">
        <v>159</v>
      </c>
      <c r="B160" s="5" t="s">
        <v>434</v>
      </c>
      <c r="C160" s="2" t="s">
        <v>435</v>
      </c>
      <c r="D160" s="2" t="s">
        <v>266</v>
      </c>
      <c r="E160" s="2" t="s">
        <v>218</v>
      </c>
      <c r="F160" s="2" t="s">
        <v>157</v>
      </c>
      <c r="G160" s="2" t="s">
        <v>13</v>
      </c>
      <c r="H160" s="2" t="s">
        <v>14</v>
      </c>
    </row>
    <row r="161" customFormat="false" ht="15" hidden="false" customHeight="false" outlineLevel="0" collapsed="false">
      <c r="A161" s="2" t="n">
        <v>160</v>
      </c>
      <c r="B161" s="5" t="s">
        <v>436</v>
      </c>
      <c r="C161" s="2" t="s">
        <v>437</v>
      </c>
      <c r="D161" s="2" t="s">
        <v>266</v>
      </c>
      <c r="E161" s="2" t="s">
        <v>218</v>
      </c>
      <c r="F161" s="2" t="s">
        <v>438</v>
      </c>
      <c r="G161" s="2" t="s">
        <v>13</v>
      </c>
      <c r="H161" s="2" t="s">
        <v>14</v>
      </c>
    </row>
    <row r="162" customFormat="false" ht="22.35" hidden="false" customHeight="false" outlineLevel="0" collapsed="false">
      <c r="A162" s="2" t="n">
        <v>161</v>
      </c>
      <c r="B162" s="5" t="s">
        <v>439</v>
      </c>
      <c r="C162" s="2" t="s">
        <v>440</v>
      </c>
      <c r="D162" s="2" t="s">
        <v>266</v>
      </c>
      <c r="E162" s="2" t="s">
        <v>218</v>
      </c>
      <c r="F162" s="2" t="s">
        <v>441</v>
      </c>
      <c r="G162" s="2" t="s">
        <v>13</v>
      </c>
      <c r="H162" s="2" t="s">
        <v>417</v>
      </c>
    </row>
    <row r="163" customFormat="false" ht="22.35" hidden="false" customHeight="false" outlineLevel="0" collapsed="false">
      <c r="A163" s="2" t="n">
        <v>162</v>
      </c>
      <c r="B163" s="5" t="s">
        <v>442</v>
      </c>
      <c r="C163" s="2" t="s">
        <v>443</v>
      </c>
      <c r="D163" s="2" t="s">
        <v>266</v>
      </c>
      <c r="E163" s="2" t="s">
        <v>444</v>
      </c>
      <c r="F163" s="2" t="s">
        <v>445</v>
      </c>
      <c r="G163" s="2" t="s">
        <v>13</v>
      </c>
      <c r="H163" s="2" t="s">
        <v>417</v>
      </c>
    </row>
    <row r="164" customFormat="false" ht="22.35" hidden="false" customHeight="false" outlineLevel="0" collapsed="false">
      <c r="A164" s="2" t="n">
        <v>163</v>
      </c>
      <c r="B164" s="5" t="s">
        <v>446</v>
      </c>
      <c r="C164" s="2" t="s">
        <v>447</v>
      </c>
      <c r="D164" s="2" t="s">
        <v>10</v>
      </c>
      <c r="E164" s="2" t="s">
        <v>218</v>
      </c>
      <c r="F164" s="2" t="s">
        <v>124</v>
      </c>
      <c r="G164" s="2" t="s">
        <v>28</v>
      </c>
      <c r="H164" s="2" t="s">
        <v>14</v>
      </c>
    </row>
    <row r="165" customFormat="false" ht="22.35" hidden="false" customHeight="false" outlineLevel="0" collapsed="false">
      <c r="A165" s="2" t="n">
        <v>164</v>
      </c>
      <c r="B165" s="5" t="s">
        <v>448</v>
      </c>
      <c r="C165" s="2" t="s">
        <v>449</v>
      </c>
      <c r="D165" s="2" t="s">
        <v>266</v>
      </c>
      <c r="E165" s="2" t="s">
        <v>218</v>
      </c>
      <c r="F165" s="2" t="s">
        <v>322</v>
      </c>
      <c r="G165" s="2" t="s">
        <v>28</v>
      </c>
      <c r="H165" s="2" t="s">
        <v>14</v>
      </c>
    </row>
    <row r="166" customFormat="false" ht="15" hidden="false" customHeight="false" outlineLevel="0" collapsed="false">
      <c r="A166" s="2" t="n">
        <v>165</v>
      </c>
      <c r="B166" s="5" t="s">
        <v>450</v>
      </c>
      <c r="C166" s="2" t="s">
        <v>451</v>
      </c>
      <c r="D166" s="2" t="s">
        <v>266</v>
      </c>
      <c r="E166" s="2" t="s">
        <v>218</v>
      </c>
      <c r="F166" s="2" t="s">
        <v>92</v>
      </c>
      <c r="G166" s="2" t="s">
        <v>13</v>
      </c>
      <c r="H166" s="2" t="s">
        <v>14</v>
      </c>
    </row>
    <row r="167" customFormat="false" ht="15" hidden="false" customHeight="false" outlineLevel="0" collapsed="false">
      <c r="A167" s="2" t="n">
        <v>166</v>
      </c>
      <c r="B167" s="5" t="s">
        <v>452</v>
      </c>
      <c r="C167" s="2" t="s">
        <v>453</v>
      </c>
      <c r="D167" s="2" t="s">
        <v>266</v>
      </c>
      <c r="E167" s="2" t="s">
        <v>218</v>
      </c>
      <c r="F167" s="2" t="s">
        <v>124</v>
      </c>
      <c r="G167" s="2" t="s">
        <v>28</v>
      </c>
      <c r="H167" s="2" t="s">
        <v>14</v>
      </c>
    </row>
    <row r="168" customFormat="false" ht="22.35" hidden="false" customHeight="false" outlineLevel="0" collapsed="false">
      <c r="A168" s="2" t="n">
        <v>167</v>
      </c>
      <c r="B168" s="5" t="s">
        <v>454</v>
      </c>
      <c r="C168" s="2" t="s">
        <v>455</v>
      </c>
      <c r="D168" s="2" t="s">
        <v>266</v>
      </c>
      <c r="E168" s="2" t="s">
        <v>218</v>
      </c>
      <c r="F168" s="2" t="s">
        <v>456</v>
      </c>
      <c r="G168" s="2" t="s">
        <v>28</v>
      </c>
      <c r="H168" s="2" t="s">
        <v>14</v>
      </c>
    </row>
    <row r="169" customFormat="false" ht="22.35" hidden="false" customHeight="false" outlineLevel="0" collapsed="false">
      <c r="A169" s="2" t="n">
        <v>168</v>
      </c>
      <c r="B169" s="3" t="s">
        <v>457</v>
      </c>
      <c r="C169" s="2" t="s">
        <v>458</v>
      </c>
      <c r="D169" s="2" t="s">
        <v>266</v>
      </c>
      <c r="E169" s="2" t="s">
        <v>218</v>
      </c>
      <c r="F169" s="4" t="s">
        <v>160</v>
      </c>
      <c r="G169" s="2" t="s">
        <v>13</v>
      </c>
      <c r="H169" s="2" t="s">
        <v>14</v>
      </c>
    </row>
    <row r="170" customFormat="false" ht="22.35" hidden="false" customHeight="false" outlineLevel="0" collapsed="false">
      <c r="A170" s="2" t="n">
        <v>169</v>
      </c>
      <c r="B170" s="3" t="s">
        <v>459</v>
      </c>
      <c r="C170" s="2" t="s">
        <v>460</v>
      </c>
      <c r="D170" s="2" t="s">
        <v>10</v>
      </c>
      <c r="E170" s="2" t="s">
        <v>218</v>
      </c>
      <c r="F170" s="4" t="s">
        <v>461</v>
      </c>
      <c r="G170" s="2" t="s">
        <v>13</v>
      </c>
      <c r="H170" s="2" t="s">
        <v>14</v>
      </c>
    </row>
    <row r="171" customFormat="false" ht="15" hidden="false" customHeight="false" outlineLevel="0" collapsed="false">
      <c r="A171" s="2" t="n">
        <v>170</v>
      </c>
      <c r="B171" s="5" t="s">
        <v>462</v>
      </c>
      <c r="C171" s="2" t="s">
        <v>463</v>
      </c>
      <c r="D171" s="2" t="s">
        <v>10</v>
      </c>
      <c r="E171" s="2" t="s">
        <v>218</v>
      </c>
      <c r="F171" s="2" t="s">
        <v>31</v>
      </c>
      <c r="G171" s="2" t="s">
        <v>13</v>
      </c>
      <c r="H171" s="2" t="s">
        <v>14</v>
      </c>
    </row>
    <row r="172" customFormat="false" ht="15" hidden="false" customHeight="false" outlineLevel="0" collapsed="false">
      <c r="A172" s="2" t="n">
        <v>171</v>
      </c>
      <c r="B172" s="5" t="s">
        <v>464</v>
      </c>
      <c r="C172" s="2" t="s">
        <v>465</v>
      </c>
      <c r="D172" s="2" t="s">
        <v>466</v>
      </c>
      <c r="E172" s="2" t="s">
        <v>218</v>
      </c>
      <c r="F172" s="2" t="s">
        <v>467</v>
      </c>
      <c r="G172" s="2" t="s">
        <v>13</v>
      </c>
      <c r="H172" s="2" t="s">
        <v>14</v>
      </c>
    </row>
    <row r="173" customFormat="false" ht="15" hidden="false" customHeight="false" outlineLevel="0" collapsed="false">
      <c r="A173" s="2" t="n">
        <v>172</v>
      </c>
      <c r="B173" s="5" t="s">
        <v>468</v>
      </c>
      <c r="C173" s="2" t="s">
        <v>469</v>
      </c>
      <c r="D173" s="2" t="s">
        <v>266</v>
      </c>
      <c r="E173" s="2" t="s">
        <v>218</v>
      </c>
      <c r="F173" s="2" t="s">
        <v>467</v>
      </c>
      <c r="G173" s="2" t="s">
        <v>28</v>
      </c>
      <c r="H173" s="2" t="s">
        <v>14</v>
      </c>
    </row>
    <row r="174" customFormat="false" ht="22.35" hidden="false" customHeight="false" outlineLevel="0" collapsed="false">
      <c r="A174" s="2" t="n">
        <v>173</v>
      </c>
      <c r="B174" s="5" t="s">
        <v>470</v>
      </c>
      <c r="C174" s="2" t="s">
        <v>471</v>
      </c>
      <c r="D174" s="2" t="s">
        <v>266</v>
      </c>
      <c r="E174" s="2" t="s">
        <v>218</v>
      </c>
      <c r="F174" s="2" t="s">
        <v>472</v>
      </c>
      <c r="G174" s="2" t="s">
        <v>28</v>
      </c>
      <c r="H174" s="2" t="s">
        <v>417</v>
      </c>
    </row>
    <row r="175" customFormat="false" ht="22.35" hidden="false" customHeight="false" outlineLevel="0" collapsed="false">
      <c r="A175" s="2" t="n">
        <v>174</v>
      </c>
      <c r="B175" s="5" t="s">
        <v>473</v>
      </c>
      <c r="C175" s="2" t="s">
        <v>474</v>
      </c>
      <c r="D175" s="2" t="s">
        <v>266</v>
      </c>
      <c r="E175" s="2" t="s">
        <v>218</v>
      </c>
      <c r="F175" s="2" t="s">
        <v>57</v>
      </c>
      <c r="G175" s="2" t="s">
        <v>28</v>
      </c>
      <c r="H175" s="2" t="s">
        <v>14</v>
      </c>
    </row>
    <row r="176" customFormat="false" ht="15" hidden="false" customHeight="false" outlineLevel="0" collapsed="false">
      <c r="A176" s="2" t="n">
        <v>175</v>
      </c>
      <c r="B176" s="5" t="s">
        <v>475</v>
      </c>
      <c r="C176" s="2" t="s">
        <v>476</v>
      </c>
      <c r="D176" s="2" t="s">
        <v>266</v>
      </c>
      <c r="E176" s="2" t="s">
        <v>218</v>
      </c>
      <c r="F176" s="2" t="s">
        <v>57</v>
      </c>
      <c r="G176" s="2" t="s">
        <v>28</v>
      </c>
      <c r="H176" s="2" t="s">
        <v>417</v>
      </c>
    </row>
    <row r="177" customFormat="false" ht="15" hidden="false" customHeight="false" outlineLevel="0" collapsed="false">
      <c r="A177" s="2" t="n">
        <v>176</v>
      </c>
      <c r="B177" s="5" t="s">
        <v>477</v>
      </c>
      <c r="C177" s="2" t="s">
        <v>476</v>
      </c>
      <c r="D177" s="2" t="s">
        <v>266</v>
      </c>
      <c r="E177" s="2" t="s">
        <v>218</v>
      </c>
      <c r="F177" s="2" t="s">
        <v>57</v>
      </c>
      <c r="G177" s="2" t="s">
        <v>28</v>
      </c>
      <c r="H177" s="2" t="s">
        <v>417</v>
      </c>
    </row>
    <row r="178" customFormat="false" ht="15" hidden="false" customHeight="false" outlineLevel="0" collapsed="false">
      <c r="A178" s="2" t="n">
        <v>177</v>
      </c>
      <c r="B178" s="5" t="s">
        <v>478</v>
      </c>
      <c r="C178" s="2" t="s">
        <v>479</v>
      </c>
      <c r="D178" s="2" t="s">
        <v>266</v>
      </c>
      <c r="E178" s="2" t="s">
        <v>218</v>
      </c>
      <c r="F178" s="2" t="s">
        <v>480</v>
      </c>
      <c r="G178" s="2" t="s">
        <v>28</v>
      </c>
      <c r="H178" s="2" t="s">
        <v>417</v>
      </c>
    </row>
    <row r="179" customFormat="false" ht="15" hidden="false" customHeight="false" outlineLevel="0" collapsed="false">
      <c r="A179" s="2" t="n">
        <v>178</v>
      </c>
      <c r="B179" s="5" t="s">
        <v>481</v>
      </c>
      <c r="C179" s="2" t="s">
        <v>479</v>
      </c>
      <c r="D179" s="2" t="s">
        <v>266</v>
      </c>
      <c r="E179" s="2" t="s">
        <v>218</v>
      </c>
      <c r="F179" s="2" t="s">
        <v>124</v>
      </c>
      <c r="G179" s="2" t="s">
        <v>28</v>
      </c>
      <c r="H179" s="2" t="s">
        <v>417</v>
      </c>
    </row>
    <row r="180" customFormat="false" ht="15" hidden="false" customHeight="false" outlineLevel="0" collapsed="false">
      <c r="A180" s="2" t="n">
        <v>179</v>
      </c>
      <c r="B180" s="5" t="s">
        <v>482</v>
      </c>
      <c r="C180" s="2" t="s">
        <v>479</v>
      </c>
      <c r="D180" s="2" t="s">
        <v>266</v>
      </c>
      <c r="E180" s="2" t="s">
        <v>218</v>
      </c>
      <c r="F180" s="2" t="s">
        <v>124</v>
      </c>
      <c r="G180" s="2" t="s">
        <v>28</v>
      </c>
      <c r="H180" s="2" t="s">
        <v>417</v>
      </c>
    </row>
    <row r="181" customFormat="false" ht="15" hidden="false" customHeight="false" outlineLevel="0" collapsed="false">
      <c r="A181" s="2" t="n">
        <v>180</v>
      </c>
      <c r="B181" s="5" t="s">
        <v>483</v>
      </c>
      <c r="C181" s="2" t="s">
        <v>484</v>
      </c>
      <c r="D181" s="2" t="s">
        <v>266</v>
      </c>
      <c r="E181" s="2" t="s">
        <v>218</v>
      </c>
      <c r="F181" s="2" t="s">
        <v>124</v>
      </c>
      <c r="G181" s="2" t="s">
        <v>28</v>
      </c>
      <c r="H181" s="2" t="s">
        <v>417</v>
      </c>
    </row>
    <row r="182" customFormat="false" ht="15" hidden="false" customHeight="false" outlineLevel="0" collapsed="false">
      <c r="A182" s="2" t="n">
        <v>181</v>
      </c>
      <c r="B182" s="5" t="s">
        <v>485</v>
      </c>
      <c r="C182" s="2" t="s">
        <v>486</v>
      </c>
      <c r="D182" s="2" t="s">
        <v>266</v>
      </c>
      <c r="E182" s="2" t="s">
        <v>218</v>
      </c>
      <c r="F182" s="2" t="s">
        <v>57</v>
      </c>
      <c r="G182" s="2" t="s">
        <v>28</v>
      </c>
      <c r="H182" s="2" t="s">
        <v>417</v>
      </c>
    </row>
    <row r="183" customFormat="false" ht="15" hidden="false" customHeight="false" outlineLevel="0" collapsed="false">
      <c r="A183" s="2" t="n">
        <v>182</v>
      </c>
      <c r="B183" s="5" t="s">
        <v>487</v>
      </c>
      <c r="C183" s="2" t="s">
        <v>486</v>
      </c>
      <c r="D183" s="2" t="s">
        <v>266</v>
      </c>
      <c r="E183" s="2" t="s">
        <v>218</v>
      </c>
      <c r="F183" s="2" t="s">
        <v>57</v>
      </c>
      <c r="G183" s="2" t="s">
        <v>28</v>
      </c>
      <c r="H183" s="2" t="s">
        <v>417</v>
      </c>
    </row>
    <row r="184" customFormat="false" ht="15" hidden="false" customHeight="false" outlineLevel="0" collapsed="false">
      <c r="A184" s="2" t="n">
        <v>183</v>
      </c>
      <c r="B184" s="5" t="s">
        <v>488</v>
      </c>
      <c r="C184" s="2" t="s">
        <v>489</v>
      </c>
      <c r="D184" s="2" t="s">
        <v>266</v>
      </c>
      <c r="E184" s="2" t="s">
        <v>218</v>
      </c>
      <c r="F184" s="2" t="s">
        <v>157</v>
      </c>
      <c r="G184" s="2" t="s">
        <v>28</v>
      </c>
      <c r="H184" s="2" t="s">
        <v>14</v>
      </c>
    </row>
    <row r="185" customFormat="false" ht="15" hidden="false" customHeight="false" outlineLevel="0" collapsed="false">
      <c r="A185" s="2" t="n">
        <v>184</v>
      </c>
      <c r="B185" s="5" t="s">
        <v>490</v>
      </c>
      <c r="C185" s="2" t="s">
        <v>491</v>
      </c>
      <c r="D185" s="2" t="s">
        <v>266</v>
      </c>
      <c r="E185" s="2" t="s">
        <v>218</v>
      </c>
      <c r="F185" s="2" t="s">
        <v>124</v>
      </c>
      <c r="G185" s="2" t="s">
        <v>28</v>
      </c>
      <c r="H185" s="2" t="s">
        <v>417</v>
      </c>
    </row>
    <row r="186" customFormat="false" ht="15" hidden="false" customHeight="false" outlineLevel="0" collapsed="false">
      <c r="A186" s="2" t="n">
        <v>185</v>
      </c>
      <c r="B186" s="5" t="s">
        <v>492</v>
      </c>
      <c r="C186" s="2" t="s">
        <v>491</v>
      </c>
      <c r="D186" s="2" t="s">
        <v>266</v>
      </c>
      <c r="E186" s="2" t="s">
        <v>218</v>
      </c>
      <c r="F186" s="2" t="s">
        <v>124</v>
      </c>
      <c r="G186" s="2" t="s">
        <v>28</v>
      </c>
      <c r="H186" s="2" t="s">
        <v>417</v>
      </c>
    </row>
    <row r="187" customFormat="false" ht="15" hidden="false" customHeight="false" outlineLevel="0" collapsed="false">
      <c r="A187" s="2" t="n">
        <v>186</v>
      </c>
      <c r="B187" s="5" t="s">
        <v>493</v>
      </c>
      <c r="C187" s="2" t="s">
        <v>491</v>
      </c>
      <c r="D187" s="2" t="s">
        <v>266</v>
      </c>
      <c r="E187" s="2" t="s">
        <v>218</v>
      </c>
      <c r="F187" s="2" t="s">
        <v>283</v>
      </c>
      <c r="G187" s="2" t="s">
        <v>28</v>
      </c>
      <c r="H187" s="2" t="s">
        <v>417</v>
      </c>
    </row>
    <row r="188" customFormat="false" ht="15" hidden="false" customHeight="false" outlineLevel="0" collapsed="false">
      <c r="A188" s="2" t="n">
        <v>187</v>
      </c>
      <c r="B188" s="5" t="s">
        <v>494</v>
      </c>
      <c r="C188" s="2" t="s">
        <v>495</v>
      </c>
      <c r="D188" s="2" t="s">
        <v>266</v>
      </c>
      <c r="E188" s="2" t="s">
        <v>218</v>
      </c>
      <c r="F188" s="2" t="s">
        <v>496</v>
      </c>
      <c r="G188" s="2" t="s">
        <v>28</v>
      </c>
      <c r="H188" s="2" t="s">
        <v>14</v>
      </c>
    </row>
    <row r="189" customFormat="false" ht="22.35" hidden="false" customHeight="false" outlineLevel="0" collapsed="false">
      <c r="A189" s="2" t="n">
        <v>188</v>
      </c>
      <c r="B189" s="5" t="s">
        <v>497</v>
      </c>
      <c r="C189" s="2" t="s">
        <v>498</v>
      </c>
      <c r="D189" s="2" t="s">
        <v>266</v>
      </c>
      <c r="E189" s="2" t="s">
        <v>218</v>
      </c>
      <c r="F189" s="2" t="s">
        <v>57</v>
      </c>
      <c r="G189" s="2" t="s">
        <v>28</v>
      </c>
      <c r="H189" s="2" t="s">
        <v>14</v>
      </c>
    </row>
    <row r="190" customFormat="false" ht="22.35" hidden="false" customHeight="false" outlineLevel="0" collapsed="false">
      <c r="A190" s="2" t="n">
        <v>189</v>
      </c>
      <c r="B190" s="5" t="s">
        <v>499</v>
      </c>
      <c r="C190" s="2" t="s">
        <v>500</v>
      </c>
      <c r="D190" s="2" t="s">
        <v>266</v>
      </c>
      <c r="E190" s="2" t="s">
        <v>218</v>
      </c>
      <c r="F190" s="2" t="s">
        <v>124</v>
      </c>
      <c r="G190" s="2" t="s">
        <v>28</v>
      </c>
      <c r="H190" s="2" t="s">
        <v>417</v>
      </c>
    </row>
    <row r="191" customFormat="false" ht="15" hidden="false" customHeight="false" outlineLevel="0" collapsed="false">
      <c r="A191" s="2" t="n">
        <v>190</v>
      </c>
      <c r="B191" s="5" t="s">
        <v>501</v>
      </c>
      <c r="C191" s="2" t="s">
        <v>502</v>
      </c>
      <c r="D191" s="2" t="s">
        <v>266</v>
      </c>
      <c r="E191" s="2" t="s">
        <v>218</v>
      </c>
      <c r="F191" s="2" t="s">
        <v>124</v>
      </c>
      <c r="G191" s="2" t="s">
        <v>28</v>
      </c>
      <c r="H191" s="2" t="s">
        <v>417</v>
      </c>
    </row>
    <row r="192" customFormat="false" ht="15" hidden="false" customHeight="false" outlineLevel="0" collapsed="false">
      <c r="A192" s="2" t="n">
        <v>191</v>
      </c>
      <c r="B192" s="5" t="s">
        <v>503</v>
      </c>
      <c r="C192" s="2" t="s">
        <v>502</v>
      </c>
      <c r="D192" s="2" t="s">
        <v>266</v>
      </c>
      <c r="E192" s="2" t="s">
        <v>218</v>
      </c>
      <c r="F192" s="2" t="s">
        <v>124</v>
      </c>
      <c r="G192" s="2" t="s">
        <v>28</v>
      </c>
      <c r="H192" s="2" t="s">
        <v>417</v>
      </c>
    </row>
    <row r="193" customFormat="false" ht="15" hidden="false" customHeight="false" outlineLevel="0" collapsed="false">
      <c r="A193" s="2" t="n">
        <v>192</v>
      </c>
      <c r="B193" s="5" t="s">
        <v>504</v>
      </c>
      <c r="C193" s="2" t="s">
        <v>502</v>
      </c>
      <c r="D193" s="2" t="s">
        <v>266</v>
      </c>
      <c r="E193" s="2" t="s">
        <v>218</v>
      </c>
      <c r="F193" s="2" t="s">
        <v>124</v>
      </c>
      <c r="G193" s="2" t="s">
        <v>28</v>
      </c>
      <c r="H193" s="2" t="s">
        <v>417</v>
      </c>
    </row>
    <row r="194" customFormat="false" ht="15" hidden="false" customHeight="false" outlineLevel="0" collapsed="false">
      <c r="A194" s="2" t="n">
        <v>193</v>
      </c>
      <c r="B194" s="5" t="s">
        <v>505</v>
      </c>
      <c r="C194" s="2" t="s">
        <v>506</v>
      </c>
      <c r="D194" s="2" t="s">
        <v>266</v>
      </c>
      <c r="E194" s="2" t="s">
        <v>218</v>
      </c>
      <c r="F194" s="2" t="s">
        <v>57</v>
      </c>
      <c r="G194" s="2" t="s">
        <v>28</v>
      </c>
      <c r="H194" s="2" t="s">
        <v>417</v>
      </c>
    </row>
    <row r="195" customFormat="false" ht="15" hidden="false" customHeight="false" outlineLevel="0" collapsed="false">
      <c r="A195" s="2" t="n">
        <v>194</v>
      </c>
      <c r="B195" s="5" t="s">
        <v>507</v>
      </c>
      <c r="C195" s="2" t="s">
        <v>506</v>
      </c>
      <c r="D195" s="2" t="s">
        <v>266</v>
      </c>
      <c r="E195" s="2" t="s">
        <v>218</v>
      </c>
      <c r="F195" s="2" t="s">
        <v>57</v>
      </c>
      <c r="G195" s="2" t="s">
        <v>28</v>
      </c>
      <c r="H195" s="2" t="s">
        <v>417</v>
      </c>
    </row>
    <row r="196" customFormat="false" ht="22.35" hidden="false" customHeight="false" outlineLevel="0" collapsed="false">
      <c r="A196" s="2" t="n">
        <v>195</v>
      </c>
      <c r="B196" s="5" t="s">
        <v>508</v>
      </c>
      <c r="C196" s="2" t="s">
        <v>509</v>
      </c>
      <c r="D196" s="2" t="s">
        <v>266</v>
      </c>
      <c r="E196" s="2" t="s">
        <v>218</v>
      </c>
      <c r="F196" s="2" t="s">
        <v>31</v>
      </c>
      <c r="G196" s="2" t="s">
        <v>28</v>
      </c>
      <c r="H196" s="2" t="s">
        <v>14</v>
      </c>
    </row>
    <row r="197" customFormat="false" ht="22.35" hidden="false" customHeight="false" outlineLevel="0" collapsed="false">
      <c r="A197" s="2" t="n">
        <v>196</v>
      </c>
      <c r="B197" s="5" t="s">
        <v>510</v>
      </c>
      <c r="C197" s="2" t="s">
        <v>511</v>
      </c>
      <c r="D197" s="2" t="s">
        <v>266</v>
      </c>
      <c r="E197" s="2" t="s">
        <v>218</v>
      </c>
      <c r="F197" s="2" t="s">
        <v>186</v>
      </c>
      <c r="G197" s="2" t="s">
        <v>28</v>
      </c>
      <c r="H197" s="2" t="s">
        <v>14</v>
      </c>
    </row>
    <row r="198" customFormat="false" ht="22.35" hidden="false" customHeight="false" outlineLevel="0" collapsed="false">
      <c r="A198" s="2" t="n">
        <v>197</v>
      </c>
      <c r="B198" s="5" t="s">
        <v>512</v>
      </c>
      <c r="C198" s="2" t="s">
        <v>513</v>
      </c>
      <c r="D198" s="2" t="s">
        <v>266</v>
      </c>
      <c r="E198" s="2" t="s">
        <v>218</v>
      </c>
      <c r="F198" s="2" t="s">
        <v>186</v>
      </c>
      <c r="G198" s="2" t="s">
        <v>28</v>
      </c>
      <c r="H198" s="2" t="s">
        <v>14</v>
      </c>
    </row>
    <row r="199" customFormat="false" ht="22.35" hidden="false" customHeight="false" outlineLevel="0" collapsed="false">
      <c r="A199" s="2" t="n">
        <v>198</v>
      </c>
      <c r="B199" s="5" t="s">
        <v>514</v>
      </c>
      <c r="C199" s="2" t="s">
        <v>515</v>
      </c>
      <c r="D199" s="2" t="s">
        <v>266</v>
      </c>
      <c r="E199" s="2" t="s">
        <v>218</v>
      </c>
      <c r="F199" s="2" t="s">
        <v>95</v>
      </c>
      <c r="G199" s="2" t="s">
        <v>28</v>
      </c>
      <c r="H199" s="2" t="s">
        <v>14</v>
      </c>
    </row>
    <row r="200" customFormat="false" ht="22.35" hidden="false" customHeight="false" outlineLevel="0" collapsed="false">
      <c r="A200" s="2" t="n">
        <v>199</v>
      </c>
      <c r="B200" s="5" t="s">
        <v>516</v>
      </c>
      <c r="C200" s="2" t="s">
        <v>517</v>
      </c>
      <c r="D200" s="2" t="s">
        <v>266</v>
      </c>
      <c r="E200" s="2" t="s">
        <v>218</v>
      </c>
      <c r="F200" s="2" t="s">
        <v>518</v>
      </c>
      <c r="G200" s="2" t="s">
        <v>13</v>
      </c>
      <c r="H200" s="2" t="s">
        <v>14</v>
      </c>
    </row>
    <row r="201" customFormat="false" ht="22.35" hidden="false" customHeight="false" outlineLevel="0" collapsed="false">
      <c r="A201" s="2" t="n">
        <v>200</v>
      </c>
      <c r="B201" s="5" t="s">
        <v>519</v>
      </c>
      <c r="C201" s="2" t="s">
        <v>520</v>
      </c>
      <c r="D201" s="2" t="s">
        <v>266</v>
      </c>
      <c r="E201" s="2" t="s">
        <v>218</v>
      </c>
      <c r="F201" s="2" t="s">
        <v>521</v>
      </c>
      <c r="G201" s="2" t="s">
        <v>28</v>
      </c>
      <c r="H201" s="2" t="s">
        <v>14</v>
      </c>
    </row>
    <row r="202" customFormat="false" ht="15" hidden="false" customHeight="false" outlineLevel="0" collapsed="false">
      <c r="A202" s="2" t="n">
        <v>201</v>
      </c>
      <c r="B202" s="5" t="s">
        <v>522</v>
      </c>
      <c r="C202" s="2" t="s">
        <v>523</v>
      </c>
      <c r="D202" s="2" t="s">
        <v>266</v>
      </c>
      <c r="E202" s="2" t="s">
        <v>218</v>
      </c>
      <c r="F202" s="2" t="s">
        <v>524</v>
      </c>
      <c r="G202" s="2" t="s">
        <v>13</v>
      </c>
      <c r="H202" s="2" t="s">
        <v>14</v>
      </c>
    </row>
    <row r="203" customFormat="false" ht="22.35" hidden="false" customHeight="false" outlineLevel="0" collapsed="false">
      <c r="A203" s="2" t="n">
        <v>202</v>
      </c>
      <c r="B203" s="5" t="s">
        <v>525</v>
      </c>
      <c r="C203" s="2" t="s">
        <v>526</v>
      </c>
      <c r="D203" s="2" t="s">
        <v>266</v>
      </c>
      <c r="E203" s="2" t="s">
        <v>527</v>
      </c>
      <c r="F203" s="2" t="s">
        <v>191</v>
      </c>
      <c r="G203" s="2" t="s">
        <v>13</v>
      </c>
      <c r="H203" s="2" t="s">
        <v>14</v>
      </c>
    </row>
    <row r="204" customFormat="false" ht="22.35" hidden="false" customHeight="false" outlineLevel="0" collapsed="false">
      <c r="A204" s="2" t="n">
        <v>203</v>
      </c>
      <c r="B204" s="5" t="s">
        <v>528</v>
      </c>
      <c r="C204" s="2" t="s">
        <v>529</v>
      </c>
      <c r="D204" s="2" t="s">
        <v>10</v>
      </c>
      <c r="E204" s="2" t="s">
        <v>530</v>
      </c>
      <c r="F204" s="2" t="s">
        <v>531</v>
      </c>
      <c r="G204" s="2" t="s">
        <v>13</v>
      </c>
      <c r="H204" s="2" t="s">
        <v>14</v>
      </c>
    </row>
    <row r="205" customFormat="false" ht="15" hidden="false" customHeight="false" outlineLevel="0" collapsed="false">
      <c r="A205" s="2" t="n">
        <v>204</v>
      </c>
      <c r="B205" s="5" t="s">
        <v>532</v>
      </c>
      <c r="C205" s="2" t="s">
        <v>533</v>
      </c>
      <c r="D205" s="2" t="s">
        <v>534</v>
      </c>
      <c r="E205" s="2" t="s">
        <v>218</v>
      </c>
      <c r="F205" s="2" t="s">
        <v>535</v>
      </c>
      <c r="G205" s="2" t="s">
        <v>13</v>
      </c>
      <c r="H205" s="2" t="s">
        <v>14</v>
      </c>
    </row>
    <row r="206" customFormat="false" ht="22.35" hidden="false" customHeight="false" outlineLevel="0" collapsed="false">
      <c r="A206" s="2" t="n">
        <v>205</v>
      </c>
      <c r="B206" s="3" t="s">
        <v>536</v>
      </c>
      <c r="C206" s="2" t="s">
        <v>537</v>
      </c>
      <c r="D206" s="2" t="s">
        <v>534</v>
      </c>
      <c r="E206" s="2" t="s">
        <v>218</v>
      </c>
      <c r="F206" s="4" t="s">
        <v>538</v>
      </c>
      <c r="G206" s="2" t="s">
        <v>13</v>
      </c>
      <c r="H206" s="2" t="s">
        <v>14</v>
      </c>
    </row>
    <row r="207" customFormat="false" ht="22.35" hidden="false" customHeight="false" outlineLevel="0" collapsed="false">
      <c r="A207" s="2" t="n">
        <v>206</v>
      </c>
      <c r="B207" s="5" t="s">
        <v>539</v>
      </c>
      <c r="C207" s="2" t="s">
        <v>540</v>
      </c>
      <c r="D207" s="2" t="s">
        <v>541</v>
      </c>
      <c r="E207" s="2" t="s">
        <v>542</v>
      </c>
      <c r="F207" s="2" t="s">
        <v>78</v>
      </c>
      <c r="G207" s="2" t="s">
        <v>13</v>
      </c>
      <c r="H207" s="2" t="s">
        <v>417</v>
      </c>
    </row>
    <row r="208" customFormat="false" ht="15" hidden="false" customHeight="false" outlineLevel="0" collapsed="false">
      <c r="A208" s="2" t="n">
        <v>207</v>
      </c>
      <c r="B208" s="5" t="s">
        <v>543</v>
      </c>
      <c r="C208" s="2" t="s">
        <v>544</v>
      </c>
      <c r="D208" s="2" t="s">
        <v>541</v>
      </c>
      <c r="E208" s="2" t="s">
        <v>545</v>
      </c>
      <c r="F208" s="2" t="s">
        <v>546</v>
      </c>
      <c r="G208" s="2" t="s">
        <v>13</v>
      </c>
      <c r="H208" s="2" t="s">
        <v>417</v>
      </c>
    </row>
    <row r="209" customFormat="false" ht="22.35" hidden="false" customHeight="false" outlineLevel="0" collapsed="false">
      <c r="A209" s="2" t="n">
        <v>208</v>
      </c>
      <c r="B209" s="5" t="s">
        <v>547</v>
      </c>
      <c r="C209" s="2" t="s">
        <v>548</v>
      </c>
      <c r="D209" s="2" t="s">
        <v>541</v>
      </c>
      <c r="E209" s="2" t="s">
        <v>218</v>
      </c>
      <c r="F209" s="2" t="s">
        <v>549</v>
      </c>
      <c r="G209" s="2" t="s">
        <v>13</v>
      </c>
      <c r="H209" s="2" t="s">
        <v>417</v>
      </c>
    </row>
    <row r="210" customFormat="false" ht="22.35" hidden="false" customHeight="false" outlineLevel="0" collapsed="false">
      <c r="A210" s="2" t="n">
        <v>209</v>
      </c>
      <c r="B210" s="5" t="s">
        <v>550</v>
      </c>
      <c r="C210" s="2" t="s">
        <v>551</v>
      </c>
      <c r="D210" s="2" t="s">
        <v>541</v>
      </c>
      <c r="E210" s="2" t="s">
        <v>218</v>
      </c>
      <c r="F210" s="2" t="s">
        <v>291</v>
      </c>
      <c r="G210" s="2" t="s">
        <v>13</v>
      </c>
      <c r="H210" s="2" t="s">
        <v>14</v>
      </c>
    </row>
    <row r="211" customFormat="false" ht="22.35" hidden="false" customHeight="false" outlineLevel="0" collapsed="false">
      <c r="A211" s="2" t="n">
        <v>210</v>
      </c>
      <c r="B211" s="3" t="s">
        <v>552</v>
      </c>
      <c r="C211" s="2" t="s">
        <v>553</v>
      </c>
      <c r="D211" s="2" t="s">
        <v>541</v>
      </c>
      <c r="E211" s="2" t="s">
        <v>218</v>
      </c>
      <c r="F211" s="4" t="s">
        <v>554</v>
      </c>
      <c r="G211" s="2" t="s">
        <v>13</v>
      </c>
      <c r="H211" s="2" t="s">
        <v>417</v>
      </c>
    </row>
    <row r="212" customFormat="false" ht="15" hidden="false" customHeight="false" outlineLevel="0" collapsed="false">
      <c r="A212" s="2" t="n">
        <v>211</v>
      </c>
      <c r="B212" s="5" t="s">
        <v>555</v>
      </c>
      <c r="C212" s="2" t="s">
        <v>556</v>
      </c>
      <c r="D212" s="2" t="s">
        <v>10</v>
      </c>
      <c r="E212" s="2" t="s">
        <v>527</v>
      </c>
      <c r="F212" s="2" t="s">
        <v>70</v>
      </c>
      <c r="G212" s="2" t="s">
        <v>13</v>
      </c>
      <c r="H212" s="2" t="s">
        <v>14</v>
      </c>
    </row>
    <row r="213" customFormat="false" ht="22.35" hidden="false" customHeight="false" outlineLevel="0" collapsed="false">
      <c r="A213" s="2" t="n">
        <v>212</v>
      </c>
      <c r="B213" s="5" t="s">
        <v>557</v>
      </c>
      <c r="C213" s="2" t="s">
        <v>558</v>
      </c>
      <c r="D213" s="2" t="s">
        <v>10</v>
      </c>
      <c r="E213" s="2" t="s">
        <v>530</v>
      </c>
      <c r="F213" s="2" t="s">
        <v>467</v>
      </c>
      <c r="G213" s="2" t="s">
        <v>13</v>
      </c>
      <c r="H213" s="2" t="s">
        <v>14</v>
      </c>
    </row>
    <row r="214" customFormat="false" ht="15" hidden="false" customHeight="false" outlineLevel="0" collapsed="false">
      <c r="A214" s="2" t="n">
        <v>213</v>
      </c>
      <c r="B214" s="5" t="s">
        <v>559</v>
      </c>
      <c r="C214" s="2" t="s">
        <v>558</v>
      </c>
      <c r="D214" s="2" t="s">
        <v>10</v>
      </c>
      <c r="E214" s="2" t="s">
        <v>530</v>
      </c>
      <c r="F214" s="2" t="s">
        <v>188</v>
      </c>
      <c r="G214" s="2" t="s">
        <v>13</v>
      </c>
      <c r="H214" s="2" t="s">
        <v>14</v>
      </c>
    </row>
    <row r="215" customFormat="false" ht="22.35" hidden="false" customHeight="false" outlineLevel="0" collapsed="false">
      <c r="A215" s="2" t="n">
        <v>214</v>
      </c>
      <c r="B215" s="5" t="s">
        <v>560</v>
      </c>
      <c r="C215" s="2" t="s">
        <v>561</v>
      </c>
      <c r="D215" s="2" t="s">
        <v>10</v>
      </c>
      <c r="E215" s="2" t="s">
        <v>530</v>
      </c>
      <c r="F215" s="2" t="s">
        <v>562</v>
      </c>
      <c r="G215" s="2" t="s">
        <v>28</v>
      </c>
      <c r="H215" s="2" t="s">
        <v>14</v>
      </c>
    </row>
    <row r="216" customFormat="false" ht="15" hidden="false" customHeight="false" outlineLevel="0" collapsed="false">
      <c r="A216" s="2" t="n">
        <v>215</v>
      </c>
      <c r="B216" s="5" t="s">
        <v>563</v>
      </c>
      <c r="C216" s="2" t="s">
        <v>564</v>
      </c>
      <c r="D216" s="2" t="s">
        <v>10</v>
      </c>
      <c r="E216" s="2" t="s">
        <v>530</v>
      </c>
      <c r="F216" s="2" t="s">
        <v>191</v>
      </c>
      <c r="G216" s="2" t="s">
        <v>13</v>
      </c>
      <c r="H216" s="2" t="s">
        <v>14</v>
      </c>
    </row>
    <row r="217" customFormat="false" ht="22.35" hidden="false" customHeight="false" outlineLevel="0" collapsed="false">
      <c r="A217" s="2" t="n">
        <v>216</v>
      </c>
      <c r="B217" s="5" t="s">
        <v>565</v>
      </c>
      <c r="C217" s="2" t="s">
        <v>566</v>
      </c>
      <c r="D217" s="2" t="s">
        <v>10</v>
      </c>
      <c r="E217" s="2" t="s">
        <v>530</v>
      </c>
      <c r="F217" s="2" t="s">
        <v>57</v>
      </c>
      <c r="G217" s="2" t="s">
        <v>13</v>
      </c>
      <c r="H217" s="2" t="s">
        <v>14</v>
      </c>
    </row>
    <row r="218" customFormat="false" ht="15" hidden="false" customHeight="false" outlineLevel="0" collapsed="false">
      <c r="A218" s="2" t="n">
        <v>217</v>
      </c>
      <c r="B218" s="5" t="s">
        <v>567</v>
      </c>
      <c r="C218" s="2" t="s">
        <v>568</v>
      </c>
      <c r="D218" s="2" t="s">
        <v>10</v>
      </c>
      <c r="E218" s="2" t="s">
        <v>530</v>
      </c>
      <c r="F218" s="2" t="s">
        <v>157</v>
      </c>
      <c r="G218" s="2" t="s">
        <v>13</v>
      </c>
      <c r="H218" s="2" t="s">
        <v>14</v>
      </c>
    </row>
    <row r="219" customFormat="false" ht="15" hidden="false" customHeight="false" outlineLevel="0" collapsed="false">
      <c r="A219" s="2" t="n">
        <v>218</v>
      </c>
      <c r="B219" s="5" t="s">
        <v>569</v>
      </c>
      <c r="C219" s="2" t="s">
        <v>570</v>
      </c>
      <c r="D219" s="2" t="s">
        <v>10</v>
      </c>
      <c r="E219" s="2" t="s">
        <v>530</v>
      </c>
      <c r="F219" s="2" t="s">
        <v>157</v>
      </c>
      <c r="G219" s="2" t="s">
        <v>13</v>
      </c>
      <c r="H219" s="2" t="s">
        <v>14</v>
      </c>
    </row>
    <row r="220" customFormat="false" ht="22.35" hidden="false" customHeight="false" outlineLevel="0" collapsed="false">
      <c r="A220" s="2" t="n">
        <v>219</v>
      </c>
      <c r="B220" s="5" t="s">
        <v>571</v>
      </c>
      <c r="C220" s="2" t="s">
        <v>572</v>
      </c>
      <c r="D220" s="2" t="s">
        <v>10</v>
      </c>
      <c r="E220" s="2" t="s">
        <v>530</v>
      </c>
      <c r="F220" s="2" t="s">
        <v>157</v>
      </c>
      <c r="G220" s="2" t="s">
        <v>13</v>
      </c>
      <c r="H220" s="2" t="s">
        <v>14</v>
      </c>
    </row>
    <row r="221" customFormat="false" ht="15" hidden="false" customHeight="false" outlineLevel="0" collapsed="false">
      <c r="A221" s="2" t="n">
        <v>220</v>
      </c>
      <c r="B221" s="5" t="s">
        <v>573</v>
      </c>
      <c r="C221" s="2" t="s">
        <v>574</v>
      </c>
      <c r="D221" s="2" t="s">
        <v>10</v>
      </c>
      <c r="E221" s="2" t="s">
        <v>530</v>
      </c>
      <c r="F221" s="2" t="s">
        <v>157</v>
      </c>
      <c r="G221" s="2" t="s">
        <v>13</v>
      </c>
      <c r="H221" s="2" t="s">
        <v>14</v>
      </c>
    </row>
    <row r="222" customFormat="false" ht="15" hidden="false" customHeight="false" outlineLevel="0" collapsed="false">
      <c r="A222" s="2" t="n">
        <v>221</v>
      </c>
      <c r="B222" s="5" t="s">
        <v>575</v>
      </c>
      <c r="C222" s="2" t="s">
        <v>576</v>
      </c>
      <c r="D222" s="2" t="s">
        <v>10</v>
      </c>
      <c r="E222" s="2" t="s">
        <v>530</v>
      </c>
      <c r="F222" s="2" t="s">
        <v>322</v>
      </c>
      <c r="G222" s="2" t="s">
        <v>13</v>
      </c>
      <c r="H222" s="2" t="s">
        <v>14</v>
      </c>
    </row>
    <row r="223" customFormat="false" ht="15" hidden="false" customHeight="false" outlineLevel="0" collapsed="false">
      <c r="A223" s="2" t="n">
        <v>222</v>
      </c>
      <c r="B223" s="5" t="s">
        <v>577</v>
      </c>
      <c r="C223" s="2" t="s">
        <v>578</v>
      </c>
      <c r="D223" s="2" t="s">
        <v>579</v>
      </c>
      <c r="E223" s="2" t="s">
        <v>218</v>
      </c>
      <c r="F223" s="2" t="s">
        <v>188</v>
      </c>
      <c r="G223" s="2" t="s">
        <v>13</v>
      </c>
      <c r="H223" s="2" t="s">
        <v>14</v>
      </c>
    </row>
    <row r="224" customFormat="false" ht="15" hidden="false" customHeight="false" outlineLevel="0" collapsed="false">
      <c r="A224" s="2" t="n">
        <v>223</v>
      </c>
      <c r="B224" s="5" t="s">
        <v>580</v>
      </c>
      <c r="C224" s="2" t="s">
        <v>581</v>
      </c>
      <c r="D224" s="2" t="s">
        <v>582</v>
      </c>
      <c r="E224" s="2" t="s">
        <v>218</v>
      </c>
      <c r="F224" s="2" t="s">
        <v>157</v>
      </c>
      <c r="G224" s="2" t="s">
        <v>13</v>
      </c>
      <c r="H224" s="2" t="s">
        <v>14</v>
      </c>
    </row>
    <row r="225" customFormat="false" ht="15" hidden="false" customHeight="false" outlineLevel="0" collapsed="false">
      <c r="A225" s="2" t="n">
        <v>224</v>
      </c>
      <c r="B225" s="5" t="s">
        <v>583</v>
      </c>
      <c r="C225" s="2" t="s">
        <v>584</v>
      </c>
      <c r="D225" s="2" t="s">
        <v>10</v>
      </c>
      <c r="E225" s="2" t="s">
        <v>585</v>
      </c>
      <c r="F225" s="2" t="s">
        <v>157</v>
      </c>
      <c r="G225" s="2" t="s">
        <v>13</v>
      </c>
      <c r="H225" s="2" t="s">
        <v>14</v>
      </c>
    </row>
    <row r="226" customFormat="false" ht="15" hidden="false" customHeight="false" outlineLevel="0" collapsed="false">
      <c r="A226" s="2" t="n">
        <v>225</v>
      </c>
      <c r="B226" s="5" t="s">
        <v>586</v>
      </c>
      <c r="C226" s="2" t="s">
        <v>587</v>
      </c>
      <c r="D226" s="2" t="s">
        <v>101</v>
      </c>
      <c r="E226" s="2" t="s">
        <v>218</v>
      </c>
      <c r="F226" s="2" t="s">
        <v>588</v>
      </c>
      <c r="G226" s="2" t="s">
        <v>13</v>
      </c>
      <c r="H226" s="2" t="s">
        <v>14</v>
      </c>
    </row>
    <row r="227" customFormat="false" ht="15" hidden="false" customHeight="false" outlineLevel="0" collapsed="false">
      <c r="A227" s="2" t="n">
        <v>226</v>
      </c>
      <c r="B227" s="5" t="s">
        <v>589</v>
      </c>
      <c r="C227" s="2" t="s">
        <v>590</v>
      </c>
      <c r="D227" s="2" t="s">
        <v>591</v>
      </c>
      <c r="E227" s="2" t="s">
        <v>592</v>
      </c>
      <c r="F227" s="2" t="s">
        <v>157</v>
      </c>
      <c r="G227" s="2" t="s">
        <v>13</v>
      </c>
      <c r="H227" s="2" t="s">
        <v>14</v>
      </c>
    </row>
    <row r="228" customFormat="false" ht="15" hidden="false" customHeight="false" outlineLevel="0" collapsed="false">
      <c r="A228" s="2" t="n">
        <v>227</v>
      </c>
      <c r="B228" s="5" t="s">
        <v>593</v>
      </c>
      <c r="C228" s="2" t="s">
        <v>594</v>
      </c>
      <c r="D228" s="2" t="s">
        <v>101</v>
      </c>
      <c r="E228" s="2" t="s">
        <v>595</v>
      </c>
      <c r="F228" s="2" t="s">
        <v>191</v>
      </c>
      <c r="G228" s="2" t="s">
        <v>13</v>
      </c>
      <c r="H228" s="2" t="s">
        <v>14</v>
      </c>
    </row>
    <row r="229" customFormat="false" ht="15" hidden="false" customHeight="false" outlineLevel="0" collapsed="false">
      <c r="A229" s="2" t="n">
        <v>228</v>
      </c>
      <c r="B229" s="5" t="s">
        <v>596</v>
      </c>
      <c r="C229" s="2" t="s">
        <v>597</v>
      </c>
      <c r="D229" s="2" t="s">
        <v>10</v>
      </c>
      <c r="E229" s="2" t="s">
        <v>595</v>
      </c>
      <c r="F229" s="2" t="s">
        <v>598</v>
      </c>
      <c r="G229" s="2" t="s">
        <v>13</v>
      </c>
      <c r="H229" s="2" t="s">
        <v>14</v>
      </c>
    </row>
    <row r="230" customFormat="false" ht="15" hidden="false" customHeight="false" outlineLevel="0" collapsed="false">
      <c r="A230" s="2" t="n">
        <v>229</v>
      </c>
      <c r="B230" s="5" t="s">
        <v>599</v>
      </c>
      <c r="C230" s="2" t="s">
        <v>600</v>
      </c>
      <c r="D230" s="2" t="s">
        <v>10</v>
      </c>
      <c r="E230" s="2" t="s">
        <v>595</v>
      </c>
      <c r="F230" s="2" t="s">
        <v>467</v>
      </c>
      <c r="G230" s="2" t="s">
        <v>13</v>
      </c>
      <c r="H230" s="2" t="s">
        <v>14</v>
      </c>
    </row>
    <row r="231" customFormat="false" ht="22.35" hidden="false" customHeight="false" outlineLevel="0" collapsed="false">
      <c r="A231" s="2" t="n">
        <v>230</v>
      </c>
      <c r="B231" s="5" t="s">
        <v>601</v>
      </c>
      <c r="C231" s="2" t="s">
        <v>602</v>
      </c>
      <c r="D231" s="2" t="s">
        <v>10</v>
      </c>
      <c r="E231" s="2" t="s">
        <v>595</v>
      </c>
      <c r="F231" s="2" t="s">
        <v>27</v>
      </c>
      <c r="G231" s="2" t="s">
        <v>13</v>
      </c>
      <c r="H231" s="2" t="s">
        <v>14</v>
      </c>
    </row>
    <row r="232" customFormat="false" ht="22.35" hidden="false" customHeight="false" outlineLevel="0" collapsed="false">
      <c r="A232" s="2" t="n">
        <v>231</v>
      </c>
      <c r="B232" s="5" t="s">
        <v>603</v>
      </c>
      <c r="C232" s="2" t="s">
        <v>604</v>
      </c>
      <c r="D232" s="2" t="s">
        <v>101</v>
      </c>
      <c r="E232" s="2" t="s">
        <v>605</v>
      </c>
      <c r="F232" s="2" t="s">
        <v>606</v>
      </c>
      <c r="G232" s="2" t="s">
        <v>13</v>
      </c>
      <c r="H232" s="2" t="s">
        <v>14</v>
      </c>
    </row>
    <row r="233" customFormat="false" ht="22.35" hidden="false" customHeight="false" outlineLevel="0" collapsed="false">
      <c r="A233" s="2" t="n">
        <v>232</v>
      </c>
      <c r="B233" s="5" t="s">
        <v>607</v>
      </c>
      <c r="C233" s="2" t="s">
        <v>608</v>
      </c>
      <c r="D233" s="2" t="s">
        <v>609</v>
      </c>
      <c r="E233" s="2" t="s">
        <v>610</v>
      </c>
      <c r="F233" s="2" t="s">
        <v>611</v>
      </c>
      <c r="G233" s="2" t="s">
        <v>13</v>
      </c>
      <c r="H233" s="2" t="s">
        <v>14</v>
      </c>
    </row>
    <row r="234" customFormat="false" ht="15" hidden="false" customHeight="false" outlineLevel="0" collapsed="false">
      <c r="A234" s="2" t="n">
        <v>233</v>
      </c>
      <c r="B234" s="5" t="s">
        <v>612</v>
      </c>
      <c r="C234" s="2" t="s">
        <v>613</v>
      </c>
      <c r="D234" s="2" t="s">
        <v>10</v>
      </c>
      <c r="E234" s="2" t="s">
        <v>614</v>
      </c>
      <c r="F234" s="2" t="s">
        <v>615</v>
      </c>
      <c r="G234" s="2" t="s">
        <v>28</v>
      </c>
      <c r="H234" s="2" t="s">
        <v>14</v>
      </c>
    </row>
    <row r="235" customFormat="false" ht="22.35" hidden="false" customHeight="false" outlineLevel="0" collapsed="false">
      <c r="A235" s="2" t="n">
        <v>234</v>
      </c>
      <c r="B235" s="3" t="s">
        <v>616</v>
      </c>
      <c r="C235" s="2" t="s">
        <v>617</v>
      </c>
      <c r="D235" s="2" t="s">
        <v>10</v>
      </c>
      <c r="E235" s="2" t="s">
        <v>618</v>
      </c>
      <c r="F235" s="4" t="s">
        <v>619</v>
      </c>
      <c r="G235" s="2" t="s">
        <v>13</v>
      </c>
      <c r="H235" s="2" t="s">
        <v>14</v>
      </c>
    </row>
    <row r="236" customFormat="false" ht="15" hidden="false" customHeight="false" outlineLevel="0" collapsed="false">
      <c r="A236" s="2" t="n">
        <v>235</v>
      </c>
      <c r="B236" s="5" t="s">
        <v>620</v>
      </c>
      <c r="C236" s="2" t="s">
        <v>621</v>
      </c>
      <c r="D236" s="2" t="s">
        <v>10</v>
      </c>
      <c r="E236" s="2" t="s">
        <v>622</v>
      </c>
      <c r="F236" s="2" t="s">
        <v>31</v>
      </c>
      <c r="G236" s="2" t="s">
        <v>13</v>
      </c>
      <c r="H236" s="2" t="s">
        <v>14</v>
      </c>
    </row>
    <row r="237" customFormat="false" ht="22.35" hidden="false" customHeight="false" outlineLevel="0" collapsed="false">
      <c r="A237" s="2" t="n">
        <v>236</v>
      </c>
      <c r="B237" s="5" t="s">
        <v>623</v>
      </c>
      <c r="C237" s="2" t="s">
        <v>624</v>
      </c>
      <c r="D237" s="2" t="s">
        <v>10</v>
      </c>
      <c r="E237" s="2" t="s">
        <v>625</v>
      </c>
      <c r="F237" s="2" t="s">
        <v>27</v>
      </c>
      <c r="G237" s="2" t="s">
        <v>13</v>
      </c>
      <c r="H237" s="2" t="s">
        <v>14</v>
      </c>
    </row>
    <row r="238" customFormat="false" ht="15" hidden="false" customHeight="false" outlineLevel="0" collapsed="false">
      <c r="A238" s="2" t="n">
        <v>237</v>
      </c>
      <c r="B238" s="5" t="s">
        <v>626</v>
      </c>
      <c r="C238" s="2" t="s">
        <v>627</v>
      </c>
      <c r="D238" s="2" t="s">
        <v>628</v>
      </c>
      <c r="E238" s="2" t="s">
        <v>629</v>
      </c>
      <c r="F238" s="2" t="s">
        <v>191</v>
      </c>
      <c r="G238" s="2" t="s">
        <v>13</v>
      </c>
      <c r="H238" s="2" t="s">
        <v>14</v>
      </c>
    </row>
    <row r="239" customFormat="false" ht="22.35" hidden="false" customHeight="false" outlineLevel="0" collapsed="false">
      <c r="A239" s="2" t="n">
        <v>238</v>
      </c>
      <c r="B239" s="5" t="s">
        <v>630</v>
      </c>
      <c r="C239" s="2" t="s">
        <v>631</v>
      </c>
      <c r="D239" s="2" t="s">
        <v>628</v>
      </c>
      <c r="E239" s="2" t="s">
        <v>218</v>
      </c>
      <c r="F239" s="2" t="s">
        <v>188</v>
      </c>
      <c r="G239" s="2" t="s">
        <v>13</v>
      </c>
      <c r="H239" s="2" t="s">
        <v>14</v>
      </c>
    </row>
    <row r="240" customFormat="false" ht="15" hidden="false" customHeight="false" outlineLevel="0" collapsed="false">
      <c r="A240" s="2" t="n">
        <v>239</v>
      </c>
      <c r="B240" s="5" t="s">
        <v>632</v>
      </c>
      <c r="C240" s="2" t="s">
        <v>633</v>
      </c>
      <c r="D240" s="2" t="s">
        <v>628</v>
      </c>
      <c r="E240" s="2" t="s">
        <v>629</v>
      </c>
      <c r="F240" s="2" t="s">
        <v>634</v>
      </c>
      <c r="G240" s="2" t="s">
        <v>13</v>
      </c>
      <c r="H240" s="2" t="s">
        <v>14</v>
      </c>
    </row>
    <row r="241" customFormat="false" ht="15" hidden="false" customHeight="false" outlineLevel="0" collapsed="false">
      <c r="A241" s="2" t="n">
        <v>240</v>
      </c>
      <c r="B241" s="5" t="s">
        <v>635</v>
      </c>
      <c r="C241" s="2" t="s">
        <v>636</v>
      </c>
      <c r="D241" s="2" t="s">
        <v>10</v>
      </c>
      <c r="E241" s="2" t="s">
        <v>637</v>
      </c>
      <c r="F241" s="2" t="s">
        <v>638</v>
      </c>
      <c r="G241" s="2" t="s">
        <v>13</v>
      </c>
      <c r="H241" s="2" t="s">
        <v>14</v>
      </c>
    </row>
    <row r="242" customFormat="false" ht="15" hidden="false" customHeight="false" outlineLevel="0" collapsed="false">
      <c r="A242" s="2" t="n">
        <v>241</v>
      </c>
      <c r="B242" s="5" t="s">
        <v>639</v>
      </c>
      <c r="C242" s="2" t="s">
        <v>640</v>
      </c>
      <c r="D242" s="2" t="s">
        <v>10</v>
      </c>
      <c r="E242" s="2" t="s">
        <v>641</v>
      </c>
      <c r="F242" s="2" t="s">
        <v>157</v>
      </c>
      <c r="G242" s="2" t="s">
        <v>13</v>
      </c>
      <c r="H242" s="2" t="s">
        <v>14</v>
      </c>
    </row>
    <row r="243" customFormat="false" ht="15" hidden="false" customHeight="false" outlineLevel="0" collapsed="false">
      <c r="A243" s="2" t="n">
        <v>242</v>
      </c>
      <c r="B243" s="5" t="s">
        <v>642</v>
      </c>
      <c r="C243" s="2" t="s">
        <v>643</v>
      </c>
      <c r="D243" s="2" t="s">
        <v>10</v>
      </c>
      <c r="E243" s="2" t="s">
        <v>641</v>
      </c>
      <c r="F243" s="2" t="s">
        <v>644</v>
      </c>
      <c r="G243" s="2" t="s">
        <v>13</v>
      </c>
      <c r="H243" s="2" t="s">
        <v>14</v>
      </c>
    </row>
    <row r="244" customFormat="false" ht="15" hidden="false" customHeight="false" outlineLevel="0" collapsed="false">
      <c r="A244" s="2" t="n">
        <v>243</v>
      </c>
      <c r="B244" s="5" t="s">
        <v>645</v>
      </c>
      <c r="C244" s="2" t="s">
        <v>646</v>
      </c>
      <c r="D244" s="2" t="s">
        <v>10</v>
      </c>
      <c r="E244" s="2" t="s">
        <v>641</v>
      </c>
      <c r="F244" s="2" t="s">
        <v>157</v>
      </c>
      <c r="G244" s="2" t="s">
        <v>13</v>
      </c>
      <c r="H244" s="2" t="s">
        <v>14</v>
      </c>
    </row>
    <row r="245" customFormat="false" ht="15" hidden="false" customHeight="false" outlineLevel="0" collapsed="false">
      <c r="A245" s="2" t="n">
        <v>244</v>
      </c>
      <c r="B245" s="5" t="s">
        <v>647</v>
      </c>
      <c r="C245" s="2" t="s">
        <v>648</v>
      </c>
      <c r="D245" s="2" t="s">
        <v>10</v>
      </c>
      <c r="E245" s="2" t="s">
        <v>641</v>
      </c>
      <c r="F245" s="2" t="s">
        <v>57</v>
      </c>
      <c r="G245" s="2" t="s">
        <v>13</v>
      </c>
      <c r="H245" s="2" t="s">
        <v>14</v>
      </c>
    </row>
    <row r="246" customFormat="false" ht="22.35" hidden="false" customHeight="false" outlineLevel="0" collapsed="false">
      <c r="A246" s="2" t="n">
        <v>245</v>
      </c>
      <c r="B246" s="5" t="s">
        <v>649</v>
      </c>
      <c r="C246" s="2" t="s">
        <v>650</v>
      </c>
      <c r="D246" s="2" t="s">
        <v>10</v>
      </c>
      <c r="E246" s="2" t="s">
        <v>218</v>
      </c>
      <c r="F246" s="2" t="s">
        <v>651</v>
      </c>
      <c r="G246" s="2" t="s">
        <v>13</v>
      </c>
      <c r="H246" s="2" t="s">
        <v>14</v>
      </c>
    </row>
    <row r="247" customFormat="false" ht="15" hidden="false" customHeight="false" outlineLevel="0" collapsed="false">
      <c r="A247" s="2" t="n">
        <v>246</v>
      </c>
      <c r="B247" s="5" t="s">
        <v>652</v>
      </c>
      <c r="C247" s="2" t="s">
        <v>653</v>
      </c>
      <c r="D247" s="2" t="s">
        <v>10</v>
      </c>
      <c r="E247" s="2" t="s">
        <v>641</v>
      </c>
      <c r="F247" s="2" t="s">
        <v>654</v>
      </c>
      <c r="G247" s="2" t="s">
        <v>13</v>
      </c>
      <c r="H247" s="2" t="s">
        <v>14</v>
      </c>
    </row>
    <row r="248" customFormat="false" ht="15" hidden="false" customHeight="false" outlineLevel="0" collapsed="false">
      <c r="A248" s="2" t="n">
        <v>247</v>
      </c>
      <c r="B248" s="3" t="s">
        <v>655</v>
      </c>
      <c r="C248" s="2" t="s">
        <v>656</v>
      </c>
      <c r="D248" s="2" t="s">
        <v>10</v>
      </c>
      <c r="E248" s="2" t="s">
        <v>641</v>
      </c>
      <c r="F248" s="4" t="s">
        <v>657</v>
      </c>
      <c r="G248" s="2" t="s">
        <v>13</v>
      </c>
      <c r="H248" s="2" t="s">
        <v>14</v>
      </c>
    </row>
    <row r="249" customFormat="false" ht="22.35" hidden="false" customHeight="false" outlineLevel="0" collapsed="false">
      <c r="A249" s="2" t="n">
        <v>248</v>
      </c>
      <c r="B249" s="3" t="s">
        <v>658</v>
      </c>
      <c r="C249" s="2" t="s">
        <v>659</v>
      </c>
      <c r="D249" s="2" t="s">
        <v>10</v>
      </c>
      <c r="E249" s="2" t="s">
        <v>660</v>
      </c>
      <c r="F249" s="4" t="s">
        <v>657</v>
      </c>
      <c r="G249" s="2" t="s">
        <v>13</v>
      </c>
      <c r="H249" s="2" t="s">
        <v>14</v>
      </c>
    </row>
    <row r="250" customFormat="false" ht="22.35" hidden="false" customHeight="false" outlineLevel="0" collapsed="false">
      <c r="A250" s="2" t="n">
        <v>249</v>
      </c>
      <c r="B250" s="5" t="s">
        <v>661</v>
      </c>
      <c r="C250" s="2" t="s">
        <v>662</v>
      </c>
      <c r="D250" s="2" t="s">
        <v>10</v>
      </c>
      <c r="E250" s="2" t="s">
        <v>663</v>
      </c>
      <c r="F250" s="2" t="s">
        <v>664</v>
      </c>
      <c r="G250" s="2" t="s">
        <v>13</v>
      </c>
      <c r="H250" s="2" t="s">
        <v>14</v>
      </c>
    </row>
    <row r="251" customFormat="false" ht="15" hidden="false" customHeight="false" outlineLevel="0" collapsed="false">
      <c r="A251" s="2" t="n">
        <v>250</v>
      </c>
      <c r="B251" s="5" t="s">
        <v>665</v>
      </c>
      <c r="C251" s="2" t="s">
        <v>666</v>
      </c>
      <c r="D251" s="2" t="s">
        <v>10</v>
      </c>
      <c r="E251" s="2" t="s">
        <v>663</v>
      </c>
      <c r="F251" s="2" t="s">
        <v>35</v>
      </c>
      <c r="G251" s="2" t="s">
        <v>13</v>
      </c>
      <c r="H251" s="2" t="s">
        <v>14</v>
      </c>
    </row>
    <row r="252" customFormat="false" ht="15" hidden="false" customHeight="false" outlineLevel="0" collapsed="false">
      <c r="A252" s="2" t="n">
        <v>251</v>
      </c>
      <c r="B252" s="3" t="s">
        <v>667</v>
      </c>
      <c r="C252" s="2" t="s">
        <v>668</v>
      </c>
      <c r="D252" s="2" t="s">
        <v>10</v>
      </c>
      <c r="E252" s="2" t="s">
        <v>641</v>
      </c>
      <c r="F252" s="4" t="s">
        <v>657</v>
      </c>
      <c r="G252" s="2" t="s">
        <v>13</v>
      </c>
      <c r="H252" s="2" t="s">
        <v>14</v>
      </c>
    </row>
    <row r="253" customFormat="false" ht="15" hidden="false" customHeight="false" outlineLevel="0" collapsed="false">
      <c r="A253" s="2" t="n">
        <v>252</v>
      </c>
      <c r="B253" s="5" t="s">
        <v>669</v>
      </c>
      <c r="C253" s="2" t="s">
        <v>670</v>
      </c>
      <c r="D253" s="2" t="s">
        <v>671</v>
      </c>
      <c r="E253" s="2" t="s">
        <v>641</v>
      </c>
      <c r="F253" s="2" t="s">
        <v>371</v>
      </c>
      <c r="G253" s="2" t="s">
        <v>13</v>
      </c>
      <c r="H253" s="2" t="s">
        <v>14</v>
      </c>
    </row>
    <row r="254" customFormat="false" ht="22.35" hidden="false" customHeight="false" outlineLevel="0" collapsed="false">
      <c r="A254" s="2" t="n">
        <v>253</v>
      </c>
      <c r="B254" s="5" t="s">
        <v>672</v>
      </c>
      <c r="C254" s="2" t="s">
        <v>673</v>
      </c>
      <c r="D254" s="2" t="s">
        <v>674</v>
      </c>
      <c r="E254" s="2" t="s">
        <v>675</v>
      </c>
      <c r="F254" s="2" t="s">
        <v>21</v>
      </c>
      <c r="G254" s="2" t="s">
        <v>28</v>
      </c>
      <c r="H254" s="2" t="s">
        <v>14</v>
      </c>
    </row>
    <row r="255" customFormat="false" ht="22.35" hidden="false" customHeight="false" outlineLevel="0" collapsed="false">
      <c r="A255" s="2" t="n">
        <v>254</v>
      </c>
      <c r="B255" s="5" t="s">
        <v>676</v>
      </c>
      <c r="C255" s="2" t="s">
        <v>677</v>
      </c>
      <c r="D255" s="2" t="s">
        <v>10</v>
      </c>
      <c r="E255" s="2" t="s">
        <v>678</v>
      </c>
      <c r="F255" s="2" t="s">
        <v>244</v>
      </c>
      <c r="G255" s="2" t="s">
        <v>13</v>
      </c>
      <c r="H255" s="2" t="s">
        <v>14</v>
      </c>
    </row>
    <row r="256" customFormat="false" ht="15" hidden="false" customHeight="false" outlineLevel="0" collapsed="false">
      <c r="A256" s="2" t="n">
        <v>255</v>
      </c>
      <c r="B256" s="5" t="s">
        <v>679</v>
      </c>
      <c r="C256" s="2" t="s">
        <v>680</v>
      </c>
      <c r="D256" s="2" t="s">
        <v>10</v>
      </c>
      <c r="E256" s="2" t="s">
        <v>678</v>
      </c>
      <c r="F256" s="2" t="s">
        <v>681</v>
      </c>
      <c r="G256" s="2" t="s">
        <v>13</v>
      </c>
      <c r="H256" s="2" t="s">
        <v>14</v>
      </c>
    </row>
    <row r="257" customFormat="false" ht="15" hidden="false" customHeight="false" outlineLevel="0" collapsed="false">
      <c r="A257" s="2" t="n">
        <v>256</v>
      </c>
      <c r="B257" s="5" t="s">
        <v>682</v>
      </c>
      <c r="C257" s="2" t="s">
        <v>683</v>
      </c>
      <c r="D257" s="2" t="s">
        <v>10</v>
      </c>
      <c r="E257" s="2" t="s">
        <v>678</v>
      </c>
      <c r="F257" s="2" t="s">
        <v>684</v>
      </c>
      <c r="G257" s="2" t="s">
        <v>28</v>
      </c>
      <c r="H257" s="2" t="s">
        <v>14</v>
      </c>
    </row>
    <row r="258" customFormat="false" ht="22.35" hidden="false" customHeight="false" outlineLevel="0" collapsed="false">
      <c r="A258" s="2" t="n">
        <v>257</v>
      </c>
      <c r="B258" s="5" t="s">
        <v>685</v>
      </c>
      <c r="C258" s="2" t="s">
        <v>686</v>
      </c>
      <c r="D258" s="2" t="s">
        <v>10</v>
      </c>
      <c r="E258" s="2" t="s">
        <v>678</v>
      </c>
      <c r="F258" s="2" t="s">
        <v>117</v>
      </c>
      <c r="G258" s="2" t="s">
        <v>28</v>
      </c>
      <c r="H258" s="2" t="s">
        <v>14</v>
      </c>
    </row>
    <row r="259" customFormat="false" ht="22.35" hidden="false" customHeight="false" outlineLevel="0" collapsed="false">
      <c r="A259" s="2" t="n">
        <v>258</v>
      </c>
      <c r="B259" s="5" t="s">
        <v>687</v>
      </c>
      <c r="C259" s="2" t="s">
        <v>688</v>
      </c>
      <c r="D259" s="2" t="s">
        <v>579</v>
      </c>
      <c r="E259" s="2" t="s">
        <v>218</v>
      </c>
      <c r="F259" s="2" t="s">
        <v>188</v>
      </c>
      <c r="G259" s="2" t="s">
        <v>13</v>
      </c>
      <c r="H259" s="2" t="s">
        <v>14</v>
      </c>
    </row>
    <row r="260" customFormat="false" ht="15" hidden="false" customHeight="false" outlineLevel="0" collapsed="false">
      <c r="A260" s="2" t="n">
        <v>259</v>
      </c>
      <c r="B260" s="5" t="s">
        <v>689</v>
      </c>
      <c r="C260" s="2" t="s">
        <v>690</v>
      </c>
      <c r="D260" s="2" t="s">
        <v>10</v>
      </c>
      <c r="E260" s="2" t="s">
        <v>678</v>
      </c>
      <c r="F260" s="2" t="s">
        <v>191</v>
      </c>
      <c r="G260" s="2" t="s">
        <v>13</v>
      </c>
      <c r="H260" s="2" t="s">
        <v>14</v>
      </c>
    </row>
    <row r="261" customFormat="false" ht="22.35" hidden="false" customHeight="false" outlineLevel="0" collapsed="false">
      <c r="A261" s="2" t="n">
        <v>260</v>
      </c>
      <c r="B261" s="5" t="s">
        <v>691</v>
      </c>
      <c r="C261" s="2" t="s">
        <v>692</v>
      </c>
      <c r="D261" s="2" t="s">
        <v>10</v>
      </c>
      <c r="E261" s="2" t="s">
        <v>678</v>
      </c>
      <c r="F261" s="2" t="s">
        <v>693</v>
      </c>
      <c r="G261" s="2" t="s">
        <v>28</v>
      </c>
      <c r="H261" s="2" t="s">
        <v>14</v>
      </c>
    </row>
    <row r="262" customFormat="false" ht="22.35" hidden="false" customHeight="false" outlineLevel="0" collapsed="false">
      <c r="A262" s="2" t="n">
        <v>261</v>
      </c>
      <c r="B262" s="5" t="s">
        <v>694</v>
      </c>
      <c r="C262" s="2" t="s">
        <v>695</v>
      </c>
      <c r="D262" s="2" t="s">
        <v>10</v>
      </c>
      <c r="E262" s="2" t="s">
        <v>678</v>
      </c>
      <c r="F262" s="2" t="s">
        <v>696</v>
      </c>
      <c r="G262" s="2" t="s">
        <v>13</v>
      </c>
      <c r="H262" s="2" t="s">
        <v>14</v>
      </c>
    </row>
    <row r="263" customFormat="false" ht="22.35" hidden="false" customHeight="false" outlineLevel="0" collapsed="false">
      <c r="A263" s="2" t="n">
        <v>262</v>
      </c>
      <c r="B263" s="5" t="s">
        <v>697</v>
      </c>
      <c r="C263" s="2" t="s">
        <v>698</v>
      </c>
      <c r="D263" s="2" t="s">
        <v>699</v>
      </c>
      <c r="E263" s="2" t="s">
        <v>700</v>
      </c>
      <c r="F263" s="2" t="s">
        <v>693</v>
      </c>
      <c r="G263" s="2" t="s">
        <v>28</v>
      </c>
      <c r="H263" s="2" t="s">
        <v>14</v>
      </c>
    </row>
    <row r="264" customFormat="false" ht="15" hidden="false" customHeight="false" outlineLevel="0" collapsed="false">
      <c r="A264" s="2" t="n">
        <v>263</v>
      </c>
      <c r="B264" s="5" t="s">
        <v>701</v>
      </c>
      <c r="C264" s="2" t="s">
        <v>702</v>
      </c>
      <c r="D264" s="2" t="s">
        <v>703</v>
      </c>
      <c r="E264" s="2" t="s">
        <v>704</v>
      </c>
      <c r="F264" s="2" t="s">
        <v>124</v>
      </c>
      <c r="G264" s="2" t="s">
        <v>13</v>
      </c>
      <c r="H264" s="2" t="s">
        <v>14</v>
      </c>
    </row>
    <row r="265" customFormat="false" ht="15" hidden="false" customHeight="false" outlineLevel="0" collapsed="false">
      <c r="A265" s="2" t="n">
        <v>264</v>
      </c>
      <c r="B265" s="5" t="s">
        <v>705</v>
      </c>
      <c r="C265" s="2" t="s">
        <v>706</v>
      </c>
      <c r="D265" s="2" t="s">
        <v>10</v>
      </c>
      <c r="E265" s="2" t="s">
        <v>707</v>
      </c>
      <c r="F265" s="2" t="s">
        <v>124</v>
      </c>
      <c r="G265" s="2" t="s">
        <v>13</v>
      </c>
      <c r="H265" s="2" t="s">
        <v>14</v>
      </c>
    </row>
    <row r="266" customFormat="false" ht="15" hidden="false" customHeight="false" outlineLevel="0" collapsed="false">
      <c r="A266" s="2" t="n">
        <v>265</v>
      </c>
      <c r="B266" s="5" t="s">
        <v>708</v>
      </c>
      <c r="C266" s="2" t="s">
        <v>709</v>
      </c>
      <c r="D266" s="2" t="s">
        <v>10</v>
      </c>
      <c r="E266" s="2" t="s">
        <v>707</v>
      </c>
      <c r="F266" s="2" t="s">
        <v>710</v>
      </c>
      <c r="G266" s="2" t="s">
        <v>13</v>
      </c>
      <c r="H266" s="2" t="s">
        <v>14</v>
      </c>
    </row>
    <row r="267" customFormat="false" ht="15" hidden="false" customHeight="false" outlineLevel="0" collapsed="false">
      <c r="A267" s="2" t="n">
        <v>266</v>
      </c>
      <c r="B267" s="5" t="s">
        <v>711</v>
      </c>
      <c r="C267" s="2" t="s">
        <v>712</v>
      </c>
      <c r="D267" s="2" t="s">
        <v>713</v>
      </c>
      <c r="E267" s="2" t="s">
        <v>714</v>
      </c>
      <c r="F267" s="2" t="s">
        <v>606</v>
      </c>
      <c r="G267" s="2" t="s">
        <v>13</v>
      </c>
      <c r="H267" s="2" t="s">
        <v>14</v>
      </c>
    </row>
    <row r="268" customFormat="false" ht="22.35" hidden="false" customHeight="false" outlineLevel="0" collapsed="false">
      <c r="A268" s="2" t="n">
        <v>267</v>
      </c>
      <c r="B268" s="5" t="s">
        <v>715</v>
      </c>
      <c r="C268" s="2" t="s">
        <v>716</v>
      </c>
      <c r="D268" s="2" t="s">
        <v>10</v>
      </c>
      <c r="E268" s="2" t="s">
        <v>717</v>
      </c>
      <c r="F268" s="2" t="s">
        <v>693</v>
      </c>
      <c r="G268" s="2" t="s">
        <v>13</v>
      </c>
      <c r="H268" s="2" t="s">
        <v>14</v>
      </c>
    </row>
    <row r="269" customFormat="false" ht="22.35" hidden="false" customHeight="false" outlineLevel="0" collapsed="false">
      <c r="A269" s="2" t="n">
        <v>268</v>
      </c>
      <c r="B269" s="5" t="s">
        <v>718</v>
      </c>
      <c r="C269" s="2" t="s">
        <v>719</v>
      </c>
      <c r="D269" s="2" t="s">
        <v>720</v>
      </c>
      <c r="E269" s="2" t="s">
        <v>721</v>
      </c>
      <c r="F269" s="2" t="s">
        <v>722</v>
      </c>
      <c r="G269" s="2" t="s">
        <v>13</v>
      </c>
      <c r="H269" s="2" t="s">
        <v>14</v>
      </c>
    </row>
    <row r="270" customFormat="false" ht="22.35" hidden="false" customHeight="false" outlineLevel="0" collapsed="false">
      <c r="A270" s="2" t="n">
        <v>269</v>
      </c>
      <c r="B270" s="5" t="s">
        <v>723</v>
      </c>
      <c r="C270" s="2" t="s">
        <v>724</v>
      </c>
      <c r="D270" s="2" t="s">
        <v>720</v>
      </c>
      <c r="E270" s="2" t="s">
        <v>725</v>
      </c>
      <c r="F270" s="2" t="s">
        <v>726</v>
      </c>
      <c r="G270" s="2" t="s">
        <v>13</v>
      </c>
      <c r="H270" s="2" t="s">
        <v>14</v>
      </c>
    </row>
    <row r="271" customFormat="false" ht="22.35" hidden="false" customHeight="false" outlineLevel="0" collapsed="false">
      <c r="A271" s="2" t="n">
        <v>270</v>
      </c>
      <c r="B271" s="5" t="s">
        <v>727</v>
      </c>
      <c r="C271" s="2" t="s">
        <v>728</v>
      </c>
      <c r="D271" s="2" t="s">
        <v>10</v>
      </c>
      <c r="E271" s="2" t="s">
        <v>729</v>
      </c>
      <c r="F271" s="2" t="s">
        <v>31</v>
      </c>
      <c r="G271" s="2" t="s">
        <v>13</v>
      </c>
      <c r="H271" s="2" t="s">
        <v>14</v>
      </c>
    </row>
    <row r="272" customFormat="false" ht="22.35" hidden="false" customHeight="false" outlineLevel="0" collapsed="false">
      <c r="A272" s="2" t="n">
        <v>271</v>
      </c>
      <c r="B272" s="5" t="s">
        <v>730</v>
      </c>
      <c r="C272" s="2" t="s">
        <v>731</v>
      </c>
      <c r="D272" s="2" t="s">
        <v>732</v>
      </c>
      <c r="E272" s="2" t="s">
        <v>733</v>
      </c>
      <c r="F272" s="2" t="s">
        <v>734</v>
      </c>
      <c r="G272" s="2" t="s">
        <v>13</v>
      </c>
      <c r="H272" s="2" t="s">
        <v>14</v>
      </c>
    </row>
    <row r="273" customFormat="false" ht="15" hidden="false" customHeight="false" outlineLevel="0" collapsed="false">
      <c r="A273" s="2" t="n">
        <v>272</v>
      </c>
      <c r="B273" s="5" t="s">
        <v>735</v>
      </c>
      <c r="C273" s="2" t="s">
        <v>736</v>
      </c>
      <c r="D273" s="2" t="s">
        <v>10</v>
      </c>
      <c r="E273" s="2" t="s">
        <v>641</v>
      </c>
      <c r="F273" s="2" t="s">
        <v>57</v>
      </c>
      <c r="G273" s="2" t="s">
        <v>13</v>
      </c>
      <c r="H273" s="2" t="s">
        <v>14</v>
      </c>
    </row>
    <row r="274" customFormat="false" ht="15" hidden="false" customHeight="false" outlineLevel="0" collapsed="false">
      <c r="A274" s="2" t="n">
        <v>273</v>
      </c>
      <c r="B274" s="5" t="s">
        <v>737</v>
      </c>
      <c r="C274" s="2" t="s">
        <v>738</v>
      </c>
      <c r="D274" s="2" t="s">
        <v>10</v>
      </c>
      <c r="E274" s="2" t="s">
        <v>218</v>
      </c>
      <c r="F274" s="2" t="s">
        <v>651</v>
      </c>
      <c r="G274" s="2" t="s">
        <v>13</v>
      </c>
      <c r="H274" s="2" t="s">
        <v>14</v>
      </c>
    </row>
    <row r="275" customFormat="false" ht="15" hidden="false" customHeight="false" outlineLevel="0" collapsed="false">
      <c r="A275" s="2" t="n">
        <v>274</v>
      </c>
      <c r="B275" s="5" t="s">
        <v>739</v>
      </c>
      <c r="C275" s="2" t="s">
        <v>740</v>
      </c>
      <c r="D275" s="2" t="s">
        <v>10</v>
      </c>
      <c r="E275" s="2" t="s">
        <v>641</v>
      </c>
      <c r="F275" s="2" t="s">
        <v>741</v>
      </c>
      <c r="G275" s="2" t="s">
        <v>13</v>
      </c>
      <c r="H275" s="2" t="s">
        <v>14</v>
      </c>
    </row>
    <row r="276" customFormat="false" ht="22.35" hidden="false" customHeight="false" outlineLevel="0" collapsed="false">
      <c r="A276" s="2" t="n">
        <v>275</v>
      </c>
      <c r="B276" s="3" t="s">
        <v>742</v>
      </c>
      <c r="C276" s="2" t="s">
        <v>743</v>
      </c>
      <c r="D276" s="2" t="s">
        <v>10</v>
      </c>
      <c r="E276" s="2" t="s">
        <v>641</v>
      </c>
      <c r="F276" s="4" t="s">
        <v>657</v>
      </c>
      <c r="G276" s="2" t="s">
        <v>13</v>
      </c>
      <c r="H276" s="2" t="s">
        <v>14</v>
      </c>
    </row>
    <row r="277" customFormat="false" ht="15" hidden="false" customHeight="false" outlineLevel="0" collapsed="false">
      <c r="A277" s="2" t="n">
        <v>276</v>
      </c>
      <c r="B277" s="5" t="s">
        <v>744</v>
      </c>
      <c r="C277" s="2" t="s">
        <v>745</v>
      </c>
      <c r="D277" s="2" t="s">
        <v>10</v>
      </c>
      <c r="E277" s="2" t="s">
        <v>663</v>
      </c>
      <c r="F277" s="2" t="s">
        <v>356</v>
      </c>
      <c r="G277" s="2" t="s">
        <v>13</v>
      </c>
      <c r="H277" s="2" t="s">
        <v>14</v>
      </c>
    </row>
    <row r="278" customFormat="false" ht="22.35" hidden="false" customHeight="false" outlineLevel="0" collapsed="false">
      <c r="A278" s="2" t="n">
        <v>277</v>
      </c>
      <c r="B278" s="5" t="s">
        <v>746</v>
      </c>
      <c r="C278" s="2" t="s">
        <v>747</v>
      </c>
      <c r="D278" s="2" t="s">
        <v>10</v>
      </c>
      <c r="E278" s="2" t="s">
        <v>748</v>
      </c>
      <c r="F278" s="2" t="s">
        <v>693</v>
      </c>
      <c r="G278" s="2" t="s">
        <v>13</v>
      </c>
      <c r="H278" s="2" t="s">
        <v>14</v>
      </c>
    </row>
    <row r="279" customFormat="false" ht="22.35" hidden="false" customHeight="false" outlineLevel="0" collapsed="false">
      <c r="A279" s="2" t="n">
        <v>278</v>
      </c>
      <c r="B279" s="5" t="s">
        <v>749</v>
      </c>
      <c r="C279" s="2" t="s">
        <v>750</v>
      </c>
      <c r="D279" s="2" t="s">
        <v>751</v>
      </c>
      <c r="E279" s="2" t="s">
        <v>660</v>
      </c>
      <c r="F279" s="2" t="s">
        <v>752</v>
      </c>
      <c r="G279" s="2" t="s">
        <v>13</v>
      </c>
      <c r="H279" s="2" t="s">
        <v>14</v>
      </c>
    </row>
    <row r="280" customFormat="false" ht="22.35" hidden="false" customHeight="false" outlineLevel="0" collapsed="false">
      <c r="A280" s="2" t="n">
        <v>279</v>
      </c>
      <c r="B280" s="5" t="s">
        <v>753</v>
      </c>
      <c r="C280" s="2" t="s">
        <v>754</v>
      </c>
      <c r="D280" s="2" t="s">
        <v>755</v>
      </c>
      <c r="E280" s="2" t="s">
        <v>678</v>
      </c>
      <c r="F280" s="2" t="s">
        <v>524</v>
      </c>
      <c r="G280" s="2" t="s">
        <v>13</v>
      </c>
      <c r="H280" s="2" t="s">
        <v>14</v>
      </c>
    </row>
    <row r="281" customFormat="false" ht="22.35" hidden="false" customHeight="false" outlineLevel="0" collapsed="false">
      <c r="A281" s="2" t="n">
        <v>280</v>
      </c>
      <c r="B281" s="5" t="s">
        <v>756</v>
      </c>
      <c r="C281" s="2" t="s">
        <v>757</v>
      </c>
      <c r="D281" s="2" t="s">
        <v>10</v>
      </c>
      <c r="E281" s="2" t="s">
        <v>678</v>
      </c>
      <c r="F281" s="2" t="s">
        <v>758</v>
      </c>
      <c r="G281" s="2" t="s">
        <v>13</v>
      </c>
      <c r="H281" s="2" t="s">
        <v>14</v>
      </c>
    </row>
    <row r="282" customFormat="false" ht="22.35" hidden="false" customHeight="false" outlineLevel="0" collapsed="false">
      <c r="A282" s="2" t="n">
        <v>281</v>
      </c>
      <c r="B282" s="5" t="s">
        <v>759</v>
      </c>
      <c r="C282" s="2" t="s">
        <v>760</v>
      </c>
      <c r="D282" s="2" t="s">
        <v>10</v>
      </c>
      <c r="E282" s="2" t="s">
        <v>761</v>
      </c>
      <c r="F282" s="2" t="s">
        <v>762</v>
      </c>
      <c r="G282" s="2" t="s">
        <v>28</v>
      </c>
      <c r="H282" s="2" t="s">
        <v>14</v>
      </c>
    </row>
    <row r="283" customFormat="false" ht="22.35" hidden="false" customHeight="false" outlineLevel="0" collapsed="false">
      <c r="A283" s="2" t="n">
        <v>282</v>
      </c>
      <c r="B283" s="5" t="s">
        <v>763</v>
      </c>
      <c r="C283" s="2" t="s">
        <v>764</v>
      </c>
      <c r="D283" s="2" t="s">
        <v>10</v>
      </c>
      <c r="E283" s="2" t="s">
        <v>765</v>
      </c>
      <c r="F283" s="2" t="s">
        <v>766</v>
      </c>
      <c r="G283" s="2" t="s">
        <v>13</v>
      </c>
      <c r="H283" s="2" t="s">
        <v>14</v>
      </c>
    </row>
    <row r="284" customFormat="false" ht="22.35" hidden="false" customHeight="false" outlineLevel="0" collapsed="false">
      <c r="A284" s="2" t="n">
        <v>283</v>
      </c>
      <c r="B284" s="5" t="s">
        <v>767</v>
      </c>
      <c r="C284" s="2" t="s">
        <v>768</v>
      </c>
      <c r="D284" s="2" t="s">
        <v>769</v>
      </c>
      <c r="E284" s="2" t="s">
        <v>770</v>
      </c>
      <c r="F284" s="2" t="s">
        <v>771</v>
      </c>
      <c r="G284" s="2" t="s">
        <v>28</v>
      </c>
      <c r="H284" s="2" t="s">
        <v>14</v>
      </c>
    </row>
    <row r="285" customFormat="false" ht="22.35" hidden="false" customHeight="false" outlineLevel="0" collapsed="false">
      <c r="A285" s="2" t="n">
        <v>284</v>
      </c>
      <c r="B285" s="5" t="s">
        <v>772</v>
      </c>
      <c r="C285" s="2" t="s">
        <v>773</v>
      </c>
      <c r="D285" s="2" t="s">
        <v>774</v>
      </c>
      <c r="E285" s="2" t="s">
        <v>775</v>
      </c>
      <c r="F285" s="2" t="s">
        <v>776</v>
      </c>
      <c r="G285" s="2" t="s">
        <v>13</v>
      </c>
      <c r="H285" s="2" t="s">
        <v>14</v>
      </c>
    </row>
    <row r="286" customFormat="false" ht="22.35" hidden="false" customHeight="false" outlineLevel="0" collapsed="false">
      <c r="A286" s="2" t="n">
        <v>285</v>
      </c>
      <c r="B286" s="5" t="s">
        <v>777</v>
      </c>
      <c r="C286" s="2" t="s">
        <v>778</v>
      </c>
      <c r="D286" s="2" t="s">
        <v>779</v>
      </c>
      <c r="E286" s="2" t="s">
        <v>218</v>
      </c>
      <c r="F286" s="2" t="s">
        <v>780</v>
      </c>
      <c r="G286" s="2" t="s">
        <v>28</v>
      </c>
      <c r="H286" s="2" t="s">
        <v>14</v>
      </c>
    </row>
    <row r="287" customFormat="false" ht="22.35" hidden="false" customHeight="false" outlineLevel="0" collapsed="false">
      <c r="A287" s="2" t="n">
        <v>286</v>
      </c>
      <c r="B287" s="5" t="s">
        <v>781</v>
      </c>
      <c r="C287" s="2" t="s">
        <v>782</v>
      </c>
      <c r="D287" s="2" t="s">
        <v>783</v>
      </c>
      <c r="E287" s="2" t="s">
        <v>784</v>
      </c>
      <c r="F287" s="2" t="s">
        <v>780</v>
      </c>
      <c r="G287" s="2" t="s">
        <v>28</v>
      </c>
      <c r="H287" s="2" t="s">
        <v>14</v>
      </c>
    </row>
    <row r="288" customFormat="false" ht="22.35" hidden="false" customHeight="false" outlineLevel="0" collapsed="false">
      <c r="A288" s="2" t="n">
        <v>287</v>
      </c>
      <c r="B288" s="5" t="s">
        <v>785</v>
      </c>
      <c r="C288" s="2" t="s">
        <v>786</v>
      </c>
      <c r="D288" s="2" t="s">
        <v>787</v>
      </c>
      <c r="E288" s="2" t="s">
        <v>729</v>
      </c>
      <c r="F288" s="2" t="s">
        <v>788</v>
      </c>
      <c r="G288" s="2" t="s">
        <v>13</v>
      </c>
      <c r="H288" s="2" t="s">
        <v>14</v>
      </c>
    </row>
    <row r="289" customFormat="false" ht="22.35" hidden="false" customHeight="false" outlineLevel="0" collapsed="false">
      <c r="A289" s="2" t="n">
        <v>288</v>
      </c>
      <c r="B289" s="5" t="s">
        <v>789</v>
      </c>
      <c r="C289" s="2" t="s">
        <v>790</v>
      </c>
      <c r="D289" s="2" t="s">
        <v>791</v>
      </c>
      <c r="E289" s="2" t="s">
        <v>218</v>
      </c>
      <c r="F289" s="2" t="s">
        <v>186</v>
      </c>
      <c r="G289" s="2" t="s">
        <v>28</v>
      </c>
      <c r="H289" s="2" t="s">
        <v>14</v>
      </c>
    </row>
    <row r="290" customFormat="false" ht="22.35" hidden="false" customHeight="false" outlineLevel="0" collapsed="false">
      <c r="A290" s="2" t="n">
        <v>289</v>
      </c>
      <c r="B290" s="5" t="s">
        <v>792</v>
      </c>
      <c r="C290" s="2" t="s">
        <v>793</v>
      </c>
      <c r="D290" s="2" t="s">
        <v>794</v>
      </c>
      <c r="E290" s="2" t="s">
        <v>795</v>
      </c>
      <c r="F290" s="2" t="s">
        <v>722</v>
      </c>
      <c r="G290" s="2" t="s">
        <v>28</v>
      </c>
      <c r="H290" s="2" t="s">
        <v>14</v>
      </c>
    </row>
    <row r="291" customFormat="false" ht="22.35" hidden="false" customHeight="false" outlineLevel="0" collapsed="false">
      <c r="A291" s="2" t="n">
        <v>290</v>
      </c>
      <c r="B291" s="3" t="s">
        <v>796</v>
      </c>
      <c r="C291" s="2" t="s">
        <v>797</v>
      </c>
      <c r="D291" s="2" t="s">
        <v>798</v>
      </c>
      <c r="E291" s="2" t="s">
        <v>799</v>
      </c>
      <c r="F291" s="4" t="s">
        <v>800</v>
      </c>
      <c r="G291" s="2" t="s">
        <v>13</v>
      </c>
      <c r="H291" s="2" t="s">
        <v>14</v>
      </c>
    </row>
    <row r="292" customFormat="false" ht="22.35" hidden="false" customHeight="false" outlineLevel="0" collapsed="false">
      <c r="A292" s="2" t="n">
        <v>291</v>
      </c>
      <c r="B292" s="5" t="s">
        <v>801</v>
      </c>
      <c r="C292" s="2" t="s">
        <v>802</v>
      </c>
      <c r="D292" s="2" t="s">
        <v>783</v>
      </c>
      <c r="E292" s="2" t="s">
        <v>803</v>
      </c>
      <c r="F292" s="2" t="s">
        <v>186</v>
      </c>
      <c r="G292" s="2" t="s">
        <v>13</v>
      </c>
      <c r="H292" s="2" t="s">
        <v>14</v>
      </c>
    </row>
    <row r="293" customFormat="false" ht="22.35" hidden="false" customHeight="false" outlineLevel="0" collapsed="false">
      <c r="A293" s="2" t="n">
        <v>292</v>
      </c>
      <c r="B293" s="5" t="s">
        <v>804</v>
      </c>
      <c r="C293" s="2" t="s">
        <v>805</v>
      </c>
      <c r="D293" s="2" t="s">
        <v>806</v>
      </c>
      <c r="E293" s="2" t="s">
        <v>795</v>
      </c>
      <c r="F293" s="2" t="s">
        <v>57</v>
      </c>
      <c r="G293" s="2" t="s">
        <v>28</v>
      </c>
      <c r="H293" s="2" t="s">
        <v>14</v>
      </c>
    </row>
    <row r="294" customFormat="false" ht="15" hidden="false" customHeight="false" outlineLevel="0" collapsed="false">
      <c r="A294" s="2" t="n">
        <v>293</v>
      </c>
      <c r="B294" s="5" t="s">
        <v>807</v>
      </c>
      <c r="C294" s="2" t="s">
        <v>808</v>
      </c>
      <c r="D294" s="2" t="s">
        <v>806</v>
      </c>
      <c r="E294" s="2" t="s">
        <v>795</v>
      </c>
      <c r="F294" s="2" t="s">
        <v>809</v>
      </c>
      <c r="G294" s="2" t="s">
        <v>13</v>
      </c>
      <c r="H294" s="2" t="s">
        <v>14</v>
      </c>
    </row>
    <row r="295" customFormat="false" ht="22.35" hidden="false" customHeight="false" outlineLevel="0" collapsed="false">
      <c r="A295" s="2" t="n">
        <v>294</v>
      </c>
      <c r="B295" s="3" t="s">
        <v>810</v>
      </c>
      <c r="C295" s="2" t="s">
        <v>811</v>
      </c>
      <c r="D295" s="2" t="s">
        <v>812</v>
      </c>
      <c r="E295" s="2" t="s">
        <v>813</v>
      </c>
      <c r="F295" s="4" t="s">
        <v>214</v>
      </c>
      <c r="G295" s="2" t="s">
        <v>13</v>
      </c>
      <c r="H295" s="2" t="s">
        <v>14</v>
      </c>
    </row>
    <row r="296" customFormat="false" ht="15" hidden="false" customHeight="false" outlineLevel="0" collapsed="false">
      <c r="A296" s="2" t="n">
        <v>295</v>
      </c>
      <c r="B296" s="5" t="s">
        <v>814</v>
      </c>
      <c r="C296" s="2" t="s">
        <v>815</v>
      </c>
      <c r="D296" s="2" t="s">
        <v>806</v>
      </c>
      <c r="E296" s="2" t="s">
        <v>675</v>
      </c>
      <c r="F296" s="2" t="s">
        <v>57</v>
      </c>
      <c r="G296" s="2" t="s">
        <v>28</v>
      </c>
      <c r="H296" s="2" t="s">
        <v>14</v>
      </c>
    </row>
    <row r="297" customFormat="false" ht="15" hidden="false" customHeight="false" outlineLevel="0" collapsed="false">
      <c r="A297" s="2" t="n">
        <v>296</v>
      </c>
      <c r="B297" s="5" t="s">
        <v>816</v>
      </c>
      <c r="C297" s="2" t="s">
        <v>817</v>
      </c>
      <c r="D297" s="2" t="s">
        <v>755</v>
      </c>
      <c r="E297" s="2" t="s">
        <v>818</v>
      </c>
      <c r="F297" s="2" t="s">
        <v>819</v>
      </c>
      <c r="G297" s="2" t="s">
        <v>13</v>
      </c>
      <c r="H297" s="2" t="s">
        <v>14</v>
      </c>
    </row>
    <row r="298" customFormat="false" ht="15" hidden="false" customHeight="false" outlineLevel="0" collapsed="false">
      <c r="A298" s="2" t="n">
        <v>297</v>
      </c>
      <c r="B298" s="5" t="s">
        <v>820</v>
      </c>
      <c r="C298" s="2" t="s">
        <v>821</v>
      </c>
      <c r="D298" s="2" t="s">
        <v>755</v>
      </c>
      <c r="E298" s="2" t="s">
        <v>795</v>
      </c>
      <c r="F298" s="2" t="s">
        <v>822</v>
      </c>
      <c r="G298" s="2" t="s">
        <v>28</v>
      </c>
      <c r="H298" s="2" t="s">
        <v>417</v>
      </c>
    </row>
    <row r="299" customFormat="false" ht="15" hidden="false" customHeight="false" outlineLevel="0" collapsed="false">
      <c r="A299" s="2" t="n">
        <v>298</v>
      </c>
      <c r="B299" s="5" t="s">
        <v>823</v>
      </c>
      <c r="C299" s="2" t="s">
        <v>824</v>
      </c>
      <c r="D299" s="2" t="s">
        <v>755</v>
      </c>
      <c r="E299" s="2" t="s">
        <v>825</v>
      </c>
      <c r="F299" s="2" t="s">
        <v>826</v>
      </c>
      <c r="G299" s="2" t="s">
        <v>13</v>
      </c>
      <c r="H299" s="2" t="s">
        <v>417</v>
      </c>
    </row>
    <row r="300" customFormat="false" ht="22.35" hidden="false" customHeight="false" outlineLevel="0" collapsed="false">
      <c r="A300" s="2" t="n">
        <v>299</v>
      </c>
      <c r="B300" s="5" t="s">
        <v>827</v>
      </c>
      <c r="C300" s="2" t="s">
        <v>828</v>
      </c>
      <c r="D300" s="2" t="s">
        <v>755</v>
      </c>
      <c r="E300" s="2" t="s">
        <v>829</v>
      </c>
      <c r="F300" s="2" t="s">
        <v>188</v>
      </c>
      <c r="G300" s="2" t="s">
        <v>28</v>
      </c>
      <c r="H300" s="2" t="s">
        <v>14</v>
      </c>
    </row>
    <row r="301" customFormat="false" ht="22.35" hidden="false" customHeight="false" outlineLevel="0" collapsed="false">
      <c r="A301" s="2" t="n">
        <v>300</v>
      </c>
      <c r="B301" s="5" t="s">
        <v>830</v>
      </c>
      <c r="C301" s="2" t="s">
        <v>831</v>
      </c>
      <c r="D301" s="2" t="s">
        <v>755</v>
      </c>
      <c r="E301" s="2" t="s">
        <v>832</v>
      </c>
      <c r="F301" s="2" t="s">
        <v>833</v>
      </c>
      <c r="G301" s="2" t="s">
        <v>13</v>
      </c>
      <c r="H301" s="2" t="s">
        <v>417</v>
      </c>
    </row>
    <row r="302" customFormat="false" ht="22.35" hidden="false" customHeight="false" outlineLevel="0" collapsed="false">
      <c r="A302" s="2" t="n">
        <v>301</v>
      </c>
      <c r="B302" s="5" t="s">
        <v>834</v>
      </c>
      <c r="C302" s="2" t="s">
        <v>835</v>
      </c>
      <c r="D302" s="2" t="s">
        <v>10</v>
      </c>
      <c r="E302" s="2" t="s">
        <v>836</v>
      </c>
      <c r="F302" s="2" t="s">
        <v>837</v>
      </c>
      <c r="G302" s="2" t="s">
        <v>13</v>
      </c>
      <c r="H302" s="2" t="s">
        <v>417</v>
      </c>
    </row>
    <row r="303" customFormat="false" ht="15" hidden="false" customHeight="false" outlineLevel="0" collapsed="false">
      <c r="A303" s="2" t="n">
        <v>302</v>
      </c>
      <c r="B303" s="3" t="s">
        <v>838</v>
      </c>
      <c r="C303" s="2" t="s">
        <v>839</v>
      </c>
      <c r="D303" s="2" t="s">
        <v>755</v>
      </c>
      <c r="E303" s="2" t="s">
        <v>840</v>
      </c>
      <c r="F303" s="4" t="s">
        <v>841</v>
      </c>
      <c r="G303" s="2" t="s">
        <v>13</v>
      </c>
      <c r="H303" s="2" t="s">
        <v>14</v>
      </c>
    </row>
    <row r="304" customFormat="false" ht="22.35" hidden="false" customHeight="false" outlineLevel="0" collapsed="false">
      <c r="A304" s="2" t="n">
        <v>303</v>
      </c>
      <c r="B304" s="5" t="s">
        <v>842</v>
      </c>
      <c r="C304" s="2" t="s">
        <v>843</v>
      </c>
      <c r="D304" s="2" t="s">
        <v>755</v>
      </c>
      <c r="E304" s="2" t="s">
        <v>844</v>
      </c>
      <c r="F304" s="2" t="s">
        <v>845</v>
      </c>
      <c r="G304" s="2" t="s">
        <v>13</v>
      </c>
      <c r="H304" s="2" t="s">
        <v>14</v>
      </c>
    </row>
    <row r="305" customFormat="false" ht="15" hidden="false" customHeight="false" outlineLevel="0" collapsed="false">
      <c r="A305" s="2" t="n">
        <v>304</v>
      </c>
      <c r="B305" s="5" t="s">
        <v>846</v>
      </c>
      <c r="C305" s="2" t="s">
        <v>847</v>
      </c>
      <c r="D305" s="2" t="s">
        <v>755</v>
      </c>
      <c r="E305" s="2" t="s">
        <v>848</v>
      </c>
      <c r="F305" s="2" t="s">
        <v>21</v>
      </c>
      <c r="G305" s="2" t="s">
        <v>13</v>
      </c>
      <c r="H305" s="2" t="s">
        <v>14</v>
      </c>
    </row>
    <row r="306" customFormat="false" ht="22.35" hidden="false" customHeight="false" outlineLevel="0" collapsed="false">
      <c r="A306" s="2" t="n">
        <v>305</v>
      </c>
      <c r="B306" s="5" t="s">
        <v>849</v>
      </c>
      <c r="C306" s="2" t="s">
        <v>850</v>
      </c>
      <c r="D306" s="2" t="s">
        <v>755</v>
      </c>
      <c r="E306" s="2" t="s">
        <v>851</v>
      </c>
      <c r="F306" s="2" t="s">
        <v>852</v>
      </c>
      <c r="G306" s="2" t="s">
        <v>13</v>
      </c>
      <c r="H306" s="2" t="s">
        <v>417</v>
      </c>
    </row>
    <row r="307" customFormat="false" ht="22.35" hidden="false" customHeight="false" outlineLevel="0" collapsed="false">
      <c r="A307" s="2" t="n">
        <v>306</v>
      </c>
      <c r="B307" s="3" t="s">
        <v>853</v>
      </c>
      <c r="C307" s="2" t="s">
        <v>854</v>
      </c>
      <c r="D307" s="2" t="s">
        <v>755</v>
      </c>
      <c r="E307" s="2" t="s">
        <v>65</v>
      </c>
      <c r="F307" s="4" t="s">
        <v>855</v>
      </c>
      <c r="G307" s="2" t="s">
        <v>13</v>
      </c>
      <c r="H307" s="2" t="s">
        <v>14</v>
      </c>
    </row>
    <row r="308" customFormat="false" ht="15" hidden="false" customHeight="false" outlineLevel="0" collapsed="false">
      <c r="A308" s="2" t="n">
        <v>307</v>
      </c>
      <c r="B308" s="5" t="s">
        <v>856</v>
      </c>
      <c r="C308" s="2" t="s">
        <v>857</v>
      </c>
      <c r="D308" s="2" t="s">
        <v>755</v>
      </c>
      <c r="E308" s="2" t="s">
        <v>858</v>
      </c>
      <c r="F308" s="2" t="s">
        <v>859</v>
      </c>
      <c r="G308" s="2" t="s">
        <v>13</v>
      </c>
      <c r="H308" s="2" t="s">
        <v>14</v>
      </c>
    </row>
    <row r="309" customFormat="false" ht="22.35" hidden="false" customHeight="false" outlineLevel="0" collapsed="false">
      <c r="A309" s="2" t="n">
        <v>308</v>
      </c>
      <c r="B309" s="5" t="s">
        <v>860</v>
      </c>
      <c r="C309" s="2" t="s">
        <v>861</v>
      </c>
      <c r="D309" s="2" t="s">
        <v>755</v>
      </c>
      <c r="E309" s="2" t="s">
        <v>858</v>
      </c>
      <c r="F309" s="2" t="s">
        <v>862</v>
      </c>
      <c r="G309" s="2" t="s">
        <v>13</v>
      </c>
      <c r="H309" s="2" t="s">
        <v>14</v>
      </c>
    </row>
    <row r="310" customFormat="false" ht="22.35" hidden="false" customHeight="false" outlineLevel="0" collapsed="false">
      <c r="A310" s="2" t="n">
        <v>309</v>
      </c>
      <c r="B310" s="5" t="s">
        <v>863</v>
      </c>
      <c r="C310" s="2" t="s">
        <v>864</v>
      </c>
      <c r="D310" s="2" t="s">
        <v>755</v>
      </c>
      <c r="E310" s="2" t="s">
        <v>858</v>
      </c>
      <c r="F310" s="2" t="s">
        <v>865</v>
      </c>
      <c r="G310" s="2" t="s">
        <v>13</v>
      </c>
      <c r="H310" s="2" t="s">
        <v>14</v>
      </c>
    </row>
    <row r="311" customFormat="false" ht="22.35" hidden="false" customHeight="false" outlineLevel="0" collapsed="false">
      <c r="A311" s="2" t="n">
        <v>310</v>
      </c>
      <c r="B311" s="5" t="s">
        <v>866</v>
      </c>
      <c r="C311" s="2" t="s">
        <v>867</v>
      </c>
      <c r="D311" s="2" t="s">
        <v>755</v>
      </c>
      <c r="E311" s="2" t="s">
        <v>868</v>
      </c>
      <c r="F311" s="2" t="s">
        <v>869</v>
      </c>
      <c r="G311" s="2" t="s">
        <v>28</v>
      </c>
      <c r="H311" s="2" t="s">
        <v>417</v>
      </c>
    </row>
    <row r="312" customFormat="false" ht="15" hidden="false" customHeight="false" outlineLevel="0" collapsed="false">
      <c r="A312" s="2" t="n">
        <v>311</v>
      </c>
      <c r="B312" s="5" t="s">
        <v>870</v>
      </c>
      <c r="C312" s="2" t="s">
        <v>871</v>
      </c>
      <c r="D312" s="2" t="s">
        <v>755</v>
      </c>
      <c r="E312" s="2" t="s">
        <v>872</v>
      </c>
      <c r="F312" s="2" t="s">
        <v>873</v>
      </c>
      <c r="G312" s="2" t="s">
        <v>28</v>
      </c>
      <c r="H312" s="2" t="s">
        <v>14</v>
      </c>
    </row>
    <row r="313" customFormat="false" ht="15" hidden="false" customHeight="false" outlineLevel="0" collapsed="false">
      <c r="A313" s="2" t="n">
        <v>312</v>
      </c>
      <c r="B313" s="5" t="s">
        <v>874</v>
      </c>
      <c r="C313" s="2" t="s">
        <v>875</v>
      </c>
      <c r="D313" s="2" t="s">
        <v>755</v>
      </c>
      <c r="E313" s="2" t="s">
        <v>876</v>
      </c>
      <c r="F313" s="2" t="s">
        <v>877</v>
      </c>
      <c r="G313" s="2" t="s">
        <v>13</v>
      </c>
      <c r="H313" s="2" t="s">
        <v>14</v>
      </c>
    </row>
    <row r="314" customFormat="false" ht="15" hidden="false" customHeight="false" outlineLevel="0" collapsed="false">
      <c r="A314" s="2" t="n">
        <v>313</v>
      </c>
      <c r="B314" s="5" t="s">
        <v>878</v>
      </c>
      <c r="C314" s="2" t="s">
        <v>879</v>
      </c>
      <c r="D314" s="2" t="s">
        <v>755</v>
      </c>
      <c r="E314" s="2" t="s">
        <v>880</v>
      </c>
      <c r="F314" s="2" t="s">
        <v>881</v>
      </c>
      <c r="G314" s="2" t="s">
        <v>13</v>
      </c>
      <c r="H314" s="2" t="s">
        <v>417</v>
      </c>
    </row>
    <row r="315" customFormat="false" ht="15" hidden="false" customHeight="false" outlineLevel="0" collapsed="false">
      <c r="A315" s="2" t="n">
        <v>314</v>
      </c>
      <c r="B315" s="5" t="s">
        <v>882</v>
      </c>
      <c r="C315" s="2" t="s">
        <v>883</v>
      </c>
      <c r="D315" s="2" t="s">
        <v>755</v>
      </c>
      <c r="E315" s="2" t="s">
        <v>880</v>
      </c>
      <c r="F315" s="2" t="s">
        <v>884</v>
      </c>
      <c r="G315" s="2" t="s">
        <v>13</v>
      </c>
      <c r="H315" s="2" t="s">
        <v>417</v>
      </c>
    </row>
    <row r="316" customFormat="false" ht="22.35" hidden="false" customHeight="false" outlineLevel="0" collapsed="false">
      <c r="A316" s="2" t="n">
        <v>315</v>
      </c>
      <c r="B316" s="5" t="s">
        <v>885</v>
      </c>
      <c r="C316" s="2" t="s">
        <v>886</v>
      </c>
      <c r="D316" s="2" t="s">
        <v>755</v>
      </c>
      <c r="E316" s="2" t="s">
        <v>880</v>
      </c>
      <c r="F316" s="2" t="s">
        <v>887</v>
      </c>
      <c r="G316" s="2" t="s">
        <v>13</v>
      </c>
      <c r="H316" s="2" t="s">
        <v>14</v>
      </c>
    </row>
    <row r="317" customFormat="false" ht="22.35" hidden="false" customHeight="false" outlineLevel="0" collapsed="false">
      <c r="A317" s="2" t="n">
        <v>316</v>
      </c>
      <c r="B317" s="5" t="s">
        <v>888</v>
      </c>
      <c r="C317" s="2" t="s">
        <v>889</v>
      </c>
      <c r="D317" s="2" t="s">
        <v>755</v>
      </c>
      <c r="E317" s="2" t="s">
        <v>890</v>
      </c>
      <c r="F317" s="2" t="s">
        <v>891</v>
      </c>
      <c r="G317" s="2" t="s">
        <v>28</v>
      </c>
      <c r="H317" s="2" t="s">
        <v>417</v>
      </c>
    </row>
    <row r="318" customFormat="false" ht="22.35" hidden="false" customHeight="false" outlineLevel="0" collapsed="false">
      <c r="A318" s="2" t="n">
        <v>317</v>
      </c>
      <c r="B318" s="5" t="s">
        <v>892</v>
      </c>
      <c r="C318" s="2" t="s">
        <v>893</v>
      </c>
      <c r="D318" s="2" t="s">
        <v>755</v>
      </c>
      <c r="E318" s="2" t="s">
        <v>894</v>
      </c>
      <c r="F318" s="2" t="s">
        <v>895</v>
      </c>
      <c r="G318" s="2" t="s">
        <v>28</v>
      </c>
      <c r="H318" s="2" t="s">
        <v>417</v>
      </c>
    </row>
    <row r="319" customFormat="false" ht="15" hidden="false" customHeight="false" outlineLevel="0" collapsed="false">
      <c r="A319" s="2" t="n">
        <v>318</v>
      </c>
      <c r="B319" s="5" t="s">
        <v>896</v>
      </c>
      <c r="C319" s="2" t="s">
        <v>897</v>
      </c>
      <c r="D319" s="2" t="s">
        <v>10</v>
      </c>
      <c r="E319" s="2" t="s">
        <v>898</v>
      </c>
      <c r="F319" s="2" t="s">
        <v>873</v>
      </c>
      <c r="G319" s="2" t="s">
        <v>13</v>
      </c>
      <c r="H319" s="2" t="s">
        <v>14</v>
      </c>
    </row>
    <row r="320" customFormat="false" ht="22.35" hidden="false" customHeight="false" outlineLevel="0" collapsed="false">
      <c r="A320" s="2" t="n">
        <v>319</v>
      </c>
      <c r="B320" s="5" t="s">
        <v>899</v>
      </c>
      <c r="C320" s="2" t="s">
        <v>900</v>
      </c>
      <c r="D320" s="2" t="s">
        <v>755</v>
      </c>
      <c r="E320" s="2" t="s">
        <v>818</v>
      </c>
      <c r="F320" s="2" t="s">
        <v>35</v>
      </c>
      <c r="G320" s="2" t="s">
        <v>28</v>
      </c>
      <c r="H320" s="2" t="s">
        <v>417</v>
      </c>
    </row>
    <row r="321" customFormat="false" ht="22.35" hidden="false" customHeight="false" outlineLevel="0" collapsed="false">
      <c r="A321" s="2" t="n">
        <v>320</v>
      </c>
      <c r="B321" s="5" t="s">
        <v>901</v>
      </c>
      <c r="C321" s="2" t="s">
        <v>902</v>
      </c>
      <c r="D321" s="2" t="s">
        <v>806</v>
      </c>
      <c r="E321" s="2" t="s">
        <v>890</v>
      </c>
      <c r="F321" s="2" t="s">
        <v>89</v>
      </c>
      <c r="G321" s="2" t="s">
        <v>28</v>
      </c>
      <c r="H321" s="2" t="s">
        <v>417</v>
      </c>
    </row>
    <row r="322" customFormat="false" ht="15" hidden="false" customHeight="false" outlineLevel="0" collapsed="false">
      <c r="A322" s="2" t="n">
        <v>321</v>
      </c>
      <c r="B322" s="5" t="s">
        <v>903</v>
      </c>
      <c r="C322" s="2" t="s">
        <v>904</v>
      </c>
      <c r="D322" s="2" t="s">
        <v>755</v>
      </c>
      <c r="E322" s="2" t="s">
        <v>890</v>
      </c>
      <c r="F322" s="2" t="s">
        <v>722</v>
      </c>
      <c r="G322" s="2" t="s">
        <v>28</v>
      </c>
      <c r="H322" s="2" t="s">
        <v>14</v>
      </c>
    </row>
    <row r="323" customFormat="false" ht="15" hidden="false" customHeight="false" outlineLevel="0" collapsed="false">
      <c r="A323" s="2" t="n">
        <v>322</v>
      </c>
      <c r="B323" s="5" t="s">
        <v>905</v>
      </c>
      <c r="C323" s="2" t="s">
        <v>906</v>
      </c>
      <c r="D323" s="2" t="s">
        <v>755</v>
      </c>
      <c r="E323" s="2" t="s">
        <v>818</v>
      </c>
      <c r="F323" s="2" t="s">
        <v>907</v>
      </c>
      <c r="G323" s="2" t="s">
        <v>28</v>
      </c>
      <c r="H323" s="2" t="s">
        <v>417</v>
      </c>
    </row>
    <row r="324" customFormat="false" ht="15" hidden="false" customHeight="false" outlineLevel="0" collapsed="false">
      <c r="A324" s="2" t="n">
        <v>323</v>
      </c>
      <c r="B324" s="5" t="s">
        <v>908</v>
      </c>
      <c r="C324" s="2" t="s">
        <v>909</v>
      </c>
      <c r="D324" s="2" t="s">
        <v>755</v>
      </c>
      <c r="E324" s="2" t="s">
        <v>829</v>
      </c>
      <c r="F324" s="2" t="s">
        <v>124</v>
      </c>
      <c r="G324" s="2" t="s">
        <v>28</v>
      </c>
      <c r="H324" s="2" t="s">
        <v>14</v>
      </c>
    </row>
    <row r="325" customFormat="false" ht="15" hidden="false" customHeight="false" outlineLevel="0" collapsed="false">
      <c r="A325" s="2" t="n">
        <v>324</v>
      </c>
      <c r="B325" s="5" t="s">
        <v>910</v>
      </c>
      <c r="C325" s="2" t="s">
        <v>911</v>
      </c>
      <c r="D325" s="2" t="s">
        <v>755</v>
      </c>
      <c r="E325" s="2" t="s">
        <v>795</v>
      </c>
      <c r="F325" s="2" t="s">
        <v>766</v>
      </c>
      <c r="G325" s="2" t="s">
        <v>28</v>
      </c>
      <c r="H325" s="2" t="s">
        <v>417</v>
      </c>
    </row>
    <row r="326" customFormat="false" ht="15" hidden="false" customHeight="false" outlineLevel="0" collapsed="false">
      <c r="A326" s="2" t="n">
        <v>325</v>
      </c>
      <c r="B326" s="5" t="s">
        <v>912</v>
      </c>
      <c r="C326" s="2" t="s">
        <v>913</v>
      </c>
      <c r="D326" s="2" t="s">
        <v>755</v>
      </c>
      <c r="E326" s="2" t="s">
        <v>795</v>
      </c>
      <c r="F326" s="2" t="s">
        <v>914</v>
      </c>
      <c r="G326" s="2" t="s">
        <v>28</v>
      </c>
      <c r="H326" s="2" t="s">
        <v>14</v>
      </c>
    </row>
    <row r="327" customFormat="false" ht="15" hidden="false" customHeight="false" outlineLevel="0" collapsed="false">
      <c r="A327" s="2" t="n">
        <v>326</v>
      </c>
      <c r="B327" s="5" t="s">
        <v>915</v>
      </c>
      <c r="C327" s="2" t="s">
        <v>916</v>
      </c>
      <c r="D327" s="2" t="s">
        <v>755</v>
      </c>
      <c r="E327" s="2" t="s">
        <v>917</v>
      </c>
      <c r="F327" s="2" t="s">
        <v>918</v>
      </c>
      <c r="G327" s="2" t="s">
        <v>13</v>
      </c>
      <c r="H327" s="2" t="s">
        <v>14</v>
      </c>
    </row>
    <row r="328" customFormat="false" ht="15" hidden="false" customHeight="false" outlineLevel="0" collapsed="false">
      <c r="A328" s="2" t="n">
        <v>327</v>
      </c>
      <c r="B328" s="5" t="s">
        <v>919</v>
      </c>
      <c r="C328" s="2" t="s">
        <v>920</v>
      </c>
      <c r="D328" s="2" t="s">
        <v>755</v>
      </c>
      <c r="E328" s="2" t="s">
        <v>795</v>
      </c>
      <c r="F328" s="2" t="s">
        <v>27</v>
      </c>
      <c r="G328" s="2" t="s">
        <v>13</v>
      </c>
      <c r="H328" s="2" t="s">
        <v>14</v>
      </c>
    </row>
    <row r="329" customFormat="false" ht="22.35" hidden="false" customHeight="false" outlineLevel="0" collapsed="false">
      <c r="A329" s="2" t="n">
        <v>328</v>
      </c>
      <c r="B329" s="3" t="s">
        <v>921</v>
      </c>
      <c r="C329" s="2" t="s">
        <v>922</v>
      </c>
      <c r="D329" s="2" t="s">
        <v>755</v>
      </c>
      <c r="E329" s="2" t="s">
        <v>923</v>
      </c>
      <c r="F329" s="4" t="s">
        <v>17</v>
      </c>
      <c r="G329" s="2" t="s">
        <v>28</v>
      </c>
      <c r="H329" s="2" t="s">
        <v>14</v>
      </c>
    </row>
    <row r="330" customFormat="false" ht="32.8" hidden="false" customHeight="false" outlineLevel="0" collapsed="false">
      <c r="A330" s="2" t="n">
        <v>329</v>
      </c>
      <c r="B330" s="5" t="s">
        <v>924</v>
      </c>
      <c r="C330" s="2" t="s">
        <v>925</v>
      </c>
      <c r="D330" s="2" t="s">
        <v>755</v>
      </c>
      <c r="E330" s="2" t="s">
        <v>926</v>
      </c>
      <c r="F330" s="2" t="s">
        <v>927</v>
      </c>
      <c r="G330" s="2" t="s">
        <v>28</v>
      </c>
      <c r="H330" s="2" t="s">
        <v>417</v>
      </c>
    </row>
    <row r="331" customFormat="false" ht="15" hidden="false" customHeight="false" outlineLevel="0" collapsed="false">
      <c r="A331" s="2" t="n">
        <v>330</v>
      </c>
      <c r="B331" s="5" t="s">
        <v>928</v>
      </c>
      <c r="C331" s="2" t="s">
        <v>929</v>
      </c>
      <c r="D331" s="2" t="s">
        <v>755</v>
      </c>
      <c r="E331" s="2" t="s">
        <v>844</v>
      </c>
      <c r="F331" s="2" t="s">
        <v>57</v>
      </c>
      <c r="G331" s="2" t="s">
        <v>28</v>
      </c>
      <c r="H331" s="2" t="s">
        <v>14</v>
      </c>
    </row>
    <row r="332" customFormat="false" ht="15" hidden="false" customHeight="false" outlineLevel="0" collapsed="false">
      <c r="A332" s="2" t="n">
        <v>331</v>
      </c>
      <c r="B332" s="5" t="s">
        <v>930</v>
      </c>
      <c r="C332" s="2" t="s">
        <v>931</v>
      </c>
      <c r="D332" s="2" t="s">
        <v>755</v>
      </c>
      <c r="E332" s="2" t="s">
        <v>844</v>
      </c>
      <c r="F332" s="2" t="s">
        <v>188</v>
      </c>
      <c r="G332" s="2" t="s">
        <v>28</v>
      </c>
      <c r="H332" s="2" t="s">
        <v>14</v>
      </c>
    </row>
    <row r="333" customFormat="false" ht="15" hidden="false" customHeight="false" outlineLevel="0" collapsed="false">
      <c r="A333" s="2" t="n">
        <v>332</v>
      </c>
      <c r="B333" s="5" t="s">
        <v>932</v>
      </c>
      <c r="C333" s="2" t="s">
        <v>933</v>
      </c>
      <c r="D333" s="2" t="s">
        <v>755</v>
      </c>
      <c r="E333" s="2" t="s">
        <v>934</v>
      </c>
      <c r="F333" s="2" t="s">
        <v>81</v>
      </c>
      <c r="G333" s="2" t="s">
        <v>28</v>
      </c>
      <c r="H333" s="2" t="s">
        <v>417</v>
      </c>
    </row>
    <row r="334" customFormat="false" ht="15" hidden="false" customHeight="false" outlineLevel="0" collapsed="false">
      <c r="A334" s="2" t="n">
        <v>333</v>
      </c>
      <c r="B334" s="5" t="s">
        <v>935</v>
      </c>
      <c r="C334" s="2" t="s">
        <v>936</v>
      </c>
      <c r="D334" s="2" t="s">
        <v>755</v>
      </c>
      <c r="E334" s="2" t="s">
        <v>937</v>
      </c>
      <c r="F334" s="2" t="s">
        <v>938</v>
      </c>
      <c r="G334" s="2" t="s">
        <v>13</v>
      </c>
      <c r="H334" s="2" t="s">
        <v>14</v>
      </c>
    </row>
    <row r="335" customFormat="false" ht="15" hidden="false" customHeight="false" outlineLevel="0" collapsed="false">
      <c r="A335" s="2" t="n">
        <v>334</v>
      </c>
      <c r="B335" s="5" t="s">
        <v>939</v>
      </c>
      <c r="C335" s="2" t="s">
        <v>940</v>
      </c>
      <c r="D335" s="2" t="s">
        <v>755</v>
      </c>
      <c r="E335" s="2" t="s">
        <v>795</v>
      </c>
      <c r="F335" s="2" t="s">
        <v>546</v>
      </c>
      <c r="G335" s="2" t="s">
        <v>13</v>
      </c>
      <c r="H335" s="2" t="s">
        <v>417</v>
      </c>
    </row>
    <row r="336" customFormat="false" ht="22.35" hidden="false" customHeight="false" outlineLevel="0" collapsed="false">
      <c r="A336" s="2" t="n">
        <v>335</v>
      </c>
      <c r="B336" s="5" t="s">
        <v>941</v>
      </c>
      <c r="C336" s="2" t="s">
        <v>942</v>
      </c>
      <c r="D336" s="2" t="s">
        <v>755</v>
      </c>
      <c r="E336" s="2" t="s">
        <v>795</v>
      </c>
      <c r="F336" s="2" t="s">
        <v>943</v>
      </c>
      <c r="G336" s="2" t="s">
        <v>13</v>
      </c>
      <c r="H336" s="2" t="s">
        <v>14</v>
      </c>
    </row>
    <row r="337" customFormat="false" ht="15" hidden="false" customHeight="false" outlineLevel="0" collapsed="false">
      <c r="A337" s="2" t="n">
        <v>336</v>
      </c>
      <c r="B337" s="5" t="s">
        <v>944</v>
      </c>
      <c r="C337" s="2" t="s">
        <v>945</v>
      </c>
      <c r="D337" s="2" t="s">
        <v>946</v>
      </c>
      <c r="E337" s="2" t="s">
        <v>795</v>
      </c>
      <c r="F337" s="2" t="s">
        <v>124</v>
      </c>
      <c r="G337" s="2" t="s">
        <v>13</v>
      </c>
      <c r="H337" s="2" t="s">
        <v>14</v>
      </c>
    </row>
    <row r="338" customFormat="false" ht="15" hidden="false" customHeight="false" outlineLevel="0" collapsed="false">
      <c r="A338" s="2" t="n">
        <v>337</v>
      </c>
      <c r="B338" s="5" t="s">
        <v>947</v>
      </c>
      <c r="C338" s="2" t="s">
        <v>948</v>
      </c>
      <c r="D338" s="2" t="s">
        <v>755</v>
      </c>
      <c r="E338" s="2" t="s">
        <v>949</v>
      </c>
      <c r="F338" s="2" t="s">
        <v>950</v>
      </c>
      <c r="G338" s="2" t="s">
        <v>13</v>
      </c>
      <c r="H338" s="2" t="s">
        <v>417</v>
      </c>
    </row>
    <row r="339" customFormat="false" ht="15" hidden="false" customHeight="false" outlineLevel="0" collapsed="false">
      <c r="A339" s="2" t="n">
        <v>338</v>
      </c>
      <c r="B339" s="5" t="s">
        <v>951</v>
      </c>
      <c r="C339" s="2" t="s">
        <v>952</v>
      </c>
      <c r="D339" s="2" t="s">
        <v>755</v>
      </c>
      <c r="E339" s="2" t="s">
        <v>934</v>
      </c>
      <c r="F339" s="2" t="s">
        <v>953</v>
      </c>
      <c r="G339" s="2" t="s">
        <v>28</v>
      </c>
      <c r="H339" s="2" t="s">
        <v>417</v>
      </c>
    </row>
    <row r="340" customFormat="false" ht="22.35" hidden="false" customHeight="false" outlineLevel="0" collapsed="false">
      <c r="A340" s="2" t="n">
        <v>339</v>
      </c>
      <c r="B340" s="3" t="s">
        <v>954</v>
      </c>
      <c r="C340" s="2" t="s">
        <v>955</v>
      </c>
      <c r="D340" s="2" t="s">
        <v>755</v>
      </c>
      <c r="E340" s="2" t="s">
        <v>795</v>
      </c>
      <c r="F340" s="4" t="s">
        <v>956</v>
      </c>
      <c r="G340" s="2" t="s">
        <v>28</v>
      </c>
      <c r="H340" s="2" t="s">
        <v>417</v>
      </c>
    </row>
    <row r="341" customFormat="false" ht="22.35" hidden="false" customHeight="false" outlineLevel="0" collapsed="false">
      <c r="A341" s="2" t="n">
        <v>340</v>
      </c>
      <c r="B341" s="5" t="s">
        <v>957</v>
      </c>
      <c r="C341" s="2" t="s">
        <v>958</v>
      </c>
      <c r="D341" s="2" t="s">
        <v>755</v>
      </c>
      <c r="E341" s="2" t="s">
        <v>959</v>
      </c>
      <c r="F341" s="2" t="s">
        <v>960</v>
      </c>
      <c r="G341" s="2" t="s">
        <v>28</v>
      </c>
      <c r="H341" s="2" t="s">
        <v>14</v>
      </c>
    </row>
    <row r="342" customFormat="false" ht="15" hidden="false" customHeight="false" outlineLevel="0" collapsed="false">
      <c r="A342" s="2" t="n">
        <v>341</v>
      </c>
      <c r="B342" s="5" t="s">
        <v>961</v>
      </c>
      <c r="C342" s="2" t="s">
        <v>962</v>
      </c>
      <c r="D342" s="2" t="s">
        <v>963</v>
      </c>
      <c r="E342" s="2" t="s">
        <v>880</v>
      </c>
      <c r="F342" s="2" t="s">
        <v>964</v>
      </c>
      <c r="G342" s="2" t="s">
        <v>13</v>
      </c>
      <c r="H342" s="2" t="s">
        <v>14</v>
      </c>
    </row>
    <row r="343" customFormat="false" ht="15" hidden="false" customHeight="false" outlineLevel="0" collapsed="false">
      <c r="A343" s="2" t="n">
        <v>342</v>
      </c>
      <c r="B343" s="5" t="s">
        <v>965</v>
      </c>
      <c r="C343" s="2" t="s">
        <v>966</v>
      </c>
      <c r="D343" s="2" t="s">
        <v>963</v>
      </c>
      <c r="E343" s="2" t="s">
        <v>880</v>
      </c>
      <c r="F343" s="2" t="s">
        <v>52</v>
      </c>
      <c r="G343" s="2" t="s">
        <v>13</v>
      </c>
      <c r="H343" s="2" t="s">
        <v>417</v>
      </c>
    </row>
    <row r="344" customFormat="false" ht="15" hidden="false" customHeight="false" outlineLevel="0" collapsed="false">
      <c r="A344" s="2" t="n">
        <v>343</v>
      </c>
      <c r="B344" s="5" t="s">
        <v>967</v>
      </c>
      <c r="C344" s="2" t="s">
        <v>968</v>
      </c>
      <c r="D344" s="2" t="s">
        <v>10</v>
      </c>
      <c r="E344" s="2" t="s">
        <v>880</v>
      </c>
      <c r="F344" s="2" t="s">
        <v>914</v>
      </c>
      <c r="G344" s="2" t="s">
        <v>28</v>
      </c>
      <c r="H344" s="2" t="s">
        <v>14</v>
      </c>
    </row>
    <row r="345" customFormat="false" ht="15" hidden="false" customHeight="false" outlineLevel="0" collapsed="false">
      <c r="A345" s="2" t="n">
        <v>344</v>
      </c>
      <c r="B345" s="5" t="s">
        <v>969</v>
      </c>
      <c r="C345" s="2" t="s">
        <v>970</v>
      </c>
      <c r="D345" s="2" t="s">
        <v>755</v>
      </c>
      <c r="E345" s="2" t="s">
        <v>971</v>
      </c>
      <c r="F345" s="2" t="s">
        <v>35</v>
      </c>
      <c r="G345" s="2" t="s">
        <v>13</v>
      </c>
      <c r="H345" s="2" t="s">
        <v>14</v>
      </c>
    </row>
    <row r="346" customFormat="false" ht="22.35" hidden="false" customHeight="false" outlineLevel="0" collapsed="false">
      <c r="A346" s="2" t="n">
        <v>345</v>
      </c>
      <c r="B346" s="5" t="s">
        <v>972</v>
      </c>
      <c r="C346" s="2" t="s">
        <v>973</v>
      </c>
      <c r="D346" s="2" t="s">
        <v>755</v>
      </c>
      <c r="E346" s="2" t="s">
        <v>795</v>
      </c>
      <c r="F346" s="2" t="s">
        <v>974</v>
      </c>
      <c r="G346" s="2" t="s">
        <v>28</v>
      </c>
      <c r="H346" s="2" t="s">
        <v>14</v>
      </c>
    </row>
    <row r="347" customFormat="false" ht="22.35" hidden="false" customHeight="false" outlineLevel="0" collapsed="false">
      <c r="A347" s="2" t="n">
        <v>346</v>
      </c>
      <c r="B347" s="5" t="s">
        <v>975</v>
      </c>
      <c r="C347" s="2" t="s">
        <v>976</v>
      </c>
      <c r="D347" s="2" t="s">
        <v>755</v>
      </c>
      <c r="E347" s="2" t="s">
        <v>977</v>
      </c>
      <c r="F347" s="2" t="s">
        <v>978</v>
      </c>
      <c r="G347" s="2" t="s">
        <v>13</v>
      </c>
      <c r="H347" s="2" t="s">
        <v>417</v>
      </c>
    </row>
    <row r="348" customFormat="false" ht="15" hidden="false" customHeight="false" outlineLevel="0" collapsed="false">
      <c r="A348" s="2" t="n">
        <v>347</v>
      </c>
      <c r="B348" s="5" t="s">
        <v>979</v>
      </c>
      <c r="C348" s="2" t="s">
        <v>980</v>
      </c>
      <c r="D348" s="2" t="s">
        <v>755</v>
      </c>
      <c r="E348" s="2" t="s">
        <v>844</v>
      </c>
      <c r="F348" s="2" t="s">
        <v>188</v>
      </c>
      <c r="G348" s="2" t="s">
        <v>13</v>
      </c>
      <c r="H348" s="2" t="s">
        <v>417</v>
      </c>
    </row>
    <row r="349" customFormat="false" ht="15" hidden="false" customHeight="false" outlineLevel="0" collapsed="false">
      <c r="A349" s="2" t="n">
        <v>348</v>
      </c>
      <c r="B349" s="5" t="s">
        <v>981</v>
      </c>
      <c r="C349" s="2" t="s">
        <v>982</v>
      </c>
      <c r="D349" s="2" t="s">
        <v>755</v>
      </c>
      <c r="E349" s="2" t="s">
        <v>983</v>
      </c>
      <c r="F349" s="2" t="s">
        <v>984</v>
      </c>
      <c r="G349" s="2" t="s">
        <v>13</v>
      </c>
      <c r="H349" s="2" t="s">
        <v>417</v>
      </c>
    </row>
    <row r="350" customFormat="false" ht="22.35" hidden="false" customHeight="false" outlineLevel="0" collapsed="false">
      <c r="A350" s="2" t="n">
        <v>349</v>
      </c>
      <c r="B350" s="5" t="s">
        <v>985</v>
      </c>
      <c r="C350" s="2" t="s">
        <v>986</v>
      </c>
      <c r="D350" s="2" t="s">
        <v>755</v>
      </c>
      <c r="E350" s="2" t="s">
        <v>987</v>
      </c>
      <c r="F350" s="2" t="s">
        <v>988</v>
      </c>
      <c r="G350" s="2" t="s">
        <v>13</v>
      </c>
      <c r="H350" s="2" t="s">
        <v>417</v>
      </c>
    </row>
    <row r="351" customFormat="false" ht="22.35" hidden="false" customHeight="false" outlineLevel="0" collapsed="false">
      <c r="A351" s="2" t="n">
        <v>350</v>
      </c>
      <c r="B351" s="5" t="s">
        <v>989</v>
      </c>
      <c r="C351" s="2" t="s">
        <v>990</v>
      </c>
      <c r="D351" s="2" t="s">
        <v>755</v>
      </c>
      <c r="E351" s="2" t="s">
        <v>991</v>
      </c>
      <c r="F351" s="2" t="s">
        <v>992</v>
      </c>
      <c r="G351" s="2" t="s">
        <v>28</v>
      </c>
      <c r="H351" s="2" t="s">
        <v>417</v>
      </c>
    </row>
    <row r="352" customFormat="false" ht="15" hidden="false" customHeight="false" outlineLevel="0" collapsed="false">
      <c r="A352" s="2" t="n">
        <v>351</v>
      </c>
      <c r="B352" s="3" t="s">
        <v>993</v>
      </c>
      <c r="C352" s="2" t="s">
        <v>994</v>
      </c>
      <c r="D352" s="2" t="s">
        <v>995</v>
      </c>
      <c r="E352" s="2" t="s">
        <v>996</v>
      </c>
      <c r="F352" s="4" t="s">
        <v>214</v>
      </c>
      <c r="G352" s="2" t="s">
        <v>13</v>
      </c>
      <c r="H352" s="2" t="s">
        <v>417</v>
      </c>
    </row>
    <row r="353" customFormat="false" ht="15" hidden="false" customHeight="false" outlineLevel="0" collapsed="false">
      <c r="A353" s="2" t="n">
        <v>352</v>
      </c>
      <c r="B353" s="3" t="s">
        <v>997</v>
      </c>
      <c r="C353" s="2" t="s">
        <v>998</v>
      </c>
      <c r="D353" s="2" t="s">
        <v>995</v>
      </c>
      <c r="E353" s="2" t="s">
        <v>999</v>
      </c>
      <c r="F353" s="4" t="s">
        <v>214</v>
      </c>
      <c r="G353" s="2" t="s">
        <v>13</v>
      </c>
      <c r="H353" s="2" t="s">
        <v>417</v>
      </c>
    </row>
    <row r="354" customFormat="false" ht="22.35" hidden="false" customHeight="false" outlineLevel="0" collapsed="false">
      <c r="A354" s="2" t="n">
        <v>353</v>
      </c>
      <c r="B354" s="3" t="s">
        <v>1000</v>
      </c>
      <c r="C354" s="2" t="s">
        <v>1001</v>
      </c>
      <c r="D354" s="2" t="s">
        <v>995</v>
      </c>
      <c r="E354" s="2" t="s">
        <v>65</v>
      </c>
      <c r="F354" s="4" t="s">
        <v>66</v>
      </c>
      <c r="G354" s="2" t="s">
        <v>13</v>
      </c>
      <c r="H354" s="2" t="s">
        <v>417</v>
      </c>
    </row>
    <row r="355" customFormat="false" ht="22.35" hidden="false" customHeight="false" outlineLevel="0" collapsed="false">
      <c r="A355" s="2" t="n">
        <v>354</v>
      </c>
      <c r="B355" s="5" t="s">
        <v>1002</v>
      </c>
      <c r="C355" s="2" t="s">
        <v>1003</v>
      </c>
      <c r="D355" s="2" t="s">
        <v>1004</v>
      </c>
      <c r="E355" s="2" t="s">
        <v>844</v>
      </c>
      <c r="F355" s="2" t="s">
        <v>1005</v>
      </c>
      <c r="G355" s="2" t="s">
        <v>13</v>
      </c>
      <c r="H355" s="2" t="s">
        <v>417</v>
      </c>
    </row>
    <row r="356" customFormat="false" ht="22.35" hidden="false" customHeight="false" outlineLevel="0" collapsed="false">
      <c r="A356" s="2" t="n">
        <v>355</v>
      </c>
      <c r="B356" s="5" t="s">
        <v>1006</v>
      </c>
      <c r="C356" s="2" t="s">
        <v>1007</v>
      </c>
      <c r="D356" s="2" t="s">
        <v>10</v>
      </c>
      <c r="E356" s="2" t="s">
        <v>218</v>
      </c>
      <c r="F356" s="2" t="s">
        <v>124</v>
      </c>
      <c r="G356" s="2" t="s">
        <v>28</v>
      </c>
      <c r="H356" s="2" t="s">
        <v>417</v>
      </c>
    </row>
    <row r="357" customFormat="false" ht="22.35" hidden="false" customHeight="false" outlineLevel="0" collapsed="false">
      <c r="A357" s="2" t="n">
        <v>356</v>
      </c>
      <c r="B357" s="5" t="s">
        <v>1008</v>
      </c>
      <c r="C357" s="2" t="s">
        <v>1009</v>
      </c>
      <c r="D357" s="2" t="s">
        <v>10</v>
      </c>
      <c r="E357" s="2" t="s">
        <v>218</v>
      </c>
      <c r="F357" s="2" t="s">
        <v>1010</v>
      </c>
      <c r="G357" s="2" t="s">
        <v>28</v>
      </c>
      <c r="H357" s="2" t="s">
        <v>417</v>
      </c>
    </row>
    <row r="358" customFormat="false" ht="22.35" hidden="false" customHeight="false" outlineLevel="0" collapsed="false">
      <c r="A358" s="2" t="n">
        <v>357</v>
      </c>
      <c r="B358" s="5" t="s">
        <v>1011</v>
      </c>
      <c r="C358" s="2" t="s">
        <v>1012</v>
      </c>
      <c r="D358" s="2" t="s">
        <v>963</v>
      </c>
      <c r="E358" s="2" t="s">
        <v>1013</v>
      </c>
      <c r="F358" s="2" t="s">
        <v>546</v>
      </c>
      <c r="G358" s="2" t="s">
        <v>28</v>
      </c>
      <c r="H358" s="2" t="s">
        <v>417</v>
      </c>
    </row>
    <row r="359" customFormat="false" ht="22.35" hidden="false" customHeight="false" outlineLevel="0" collapsed="false">
      <c r="A359" s="2" t="n">
        <v>358</v>
      </c>
      <c r="B359" s="5" t="s">
        <v>1014</v>
      </c>
      <c r="C359" s="2" t="s">
        <v>1015</v>
      </c>
      <c r="D359" s="2" t="s">
        <v>806</v>
      </c>
      <c r="E359" s="2" t="s">
        <v>1016</v>
      </c>
      <c r="F359" s="2" t="s">
        <v>1017</v>
      </c>
      <c r="G359" s="2" t="s">
        <v>28</v>
      </c>
      <c r="H359" s="2" t="s">
        <v>14</v>
      </c>
    </row>
    <row r="360" customFormat="false" ht="22.35" hidden="false" customHeight="false" outlineLevel="0" collapsed="false">
      <c r="A360" s="2" t="n">
        <v>359</v>
      </c>
      <c r="B360" s="3" t="s">
        <v>1018</v>
      </c>
      <c r="C360" s="2" t="s">
        <v>1019</v>
      </c>
      <c r="D360" s="2" t="s">
        <v>963</v>
      </c>
      <c r="E360" s="2" t="s">
        <v>949</v>
      </c>
      <c r="F360" s="4" t="s">
        <v>554</v>
      </c>
      <c r="G360" s="2" t="s">
        <v>28</v>
      </c>
      <c r="H360" s="2" t="s">
        <v>417</v>
      </c>
    </row>
    <row r="361" customFormat="false" ht="22.35" hidden="false" customHeight="false" outlineLevel="0" collapsed="false">
      <c r="A361" s="2" t="n">
        <v>360</v>
      </c>
      <c r="B361" s="5" t="s">
        <v>1020</v>
      </c>
      <c r="C361" s="2" t="s">
        <v>1021</v>
      </c>
      <c r="D361" s="2" t="s">
        <v>755</v>
      </c>
      <c r="E361" s="2" t="s">
        <v>1022</v>
      </c>
      <c r="F361" s="2" t="s">
        <v>1023</v>
      </c>
      <c r="G361" s="2" t="s">
        <v>28</v>
      </c>
      <c r="H361" s="2" t="s">
        <v>417</v>
      </c>
    </row>
    <row r="362" customFormat="false" ht="22.35" hidden="false" customHeight="false" outlineLevel="0" collapsed="false">
      <c r="A362" s="2" t="n">
        <v>361</v>
      </c>
      <c r="B362" s="5" t="s">
        <v>1024</v>
      </c>
      <c r="C362" s="2" t="s">
        <v>1025</v>
      </c>
      <c r="D362" s="2" t="s">
        <v>10</v>
      </c>
      <c r="E362" s="2" t="s">
        <v>641</v>
      </c>
      <c r="F362" s="2" t="s">
        <v>654</v>
      </c>
      <c r="G362" s="2" t="s">
        <v>13</v>
      </c>
      <c r="H362" s="2" t="s">
        <v>14</v>
      </c>
    </row>
    <row r="363" customFormat="false" ht="22.35" hidden="false" customHeight="false" outlineLevel="0" collapsed="false">
      <c r="A363" s="2" t="n">
        <v>362</v>
      </c>
      <c r="B363" s="5" t="s">
        <v>1026</v>
      </c>
      <c r="C363" s="2" t="s">
        <v>1027</v>
      </c>
      <c r="D363" s="2" t="s">
        <v>10</v>
      </c>
      <c r="E363" s="2" t="s">
        <v>1028</v>
      </c>
      <c r="F363" s="2" t="s">
        <v>696</v>
      </c>
      <c r="G363" s="2" t="s">
        <v>13</v>
      </c>
      <c r="H363" s="2" t="s">
        <v>14</v>
      </c>
    </row>
    <row r="364" customFormat="false" ht="22.35" hidden="false" customHeight="false" outlineLevel="0" collapsed="false">
      <c r="A364" s="2" t="n">
        <v>363</v>
      </c>
      <c r="B364" s="5" t="s">
        <v>1029</v>
      </c>
      <c r="C364" s="2" t="s">
        <v>1030</v>
      </c>
      <c r="D364" s="2" t="s">
        <v>10</v>
      </c>
      <c r="E364" s="2" t="s">
        <v>1031</v>
      </c>
      <c r="F364" s="2" t="s">
        <v>353</v>
      </c>
      <c r="G364" s="2" t="s">
        <v>13</v>
      </c>
      <c r="H364" s="2" t="s">
        <v>14</v>
      </c>
    </row>
    <row r="365" customFormat="false" ht="15" hidden="false" customHeight="false" outlineLevel="0" collapsed="false">
      <c r="A365" s="2" t="n">
        <v>364</v>
      </c>
      <c r="B365" s="5" t="s">
        <v>1032</v>
      </c>
      <c r="C365" s="2" t="s">
        <v>1033</v>
      </c>
      <c r="D365" s="2" t="s">
        <v>1034</v>
      </c>
      <c r="E365" s="2" t="s">
        <v>1035</v>
      </c>
      <c r="F365" s="2" t="s">
        <v>57</v>
      </c>
      <c r="G365" s="2" t="s">
        <v>28</v>
      </c>
      <c r="H365" s="2" t="s">
        <v>417</v>
      </c>
    </row>
    <row r="366" customFormat="false" ht="22.35" hidden="false" customHeight="false" outlineLevel="0" collapsed="false">
      <c r="A366" s="2" t="n">
        <v>365</v>
      </c>
      <c r="B366" s="5" t="s">
        <v>1036</v>
      </c>
      <c r="C366" s="2" t="s">
        <v>1037</v>
      </c>
      <c r="D366" s="2" t="s">
        <v>806</v>
      </c>
      <c r="E366" s="2" t="s">
        <v>1038</v>
      </c>
      <c r="F366" s="2" t="s">
        <v>21</v>
      </c>
      <c r="G366" s="2" t="s">
        <v>28</v>
      </c>
      <c r="H366" s="2" t="s">
        <v>14</v>
      </c>
    </row>
    <row r="367" customFormat="false" ht="15" hidden="false" customHeight="false" outlineLevel="0" collapsed="false">
      <c r="A367" s="2" t="n">
        <v>366</v>
      </c>
      <c r="B367" s="5" t="s">
        <v>1039</v>
      </c>
      <c r="C367" s="2" t="s">
        <v>1040</v>
      </c>
      <c r="D367" s="2" t="s">
        <v>806</v>
      </c>
      <c r="E367" s="2" t="s">
        <v>1041</v>
      </c>
      <c r="F367" s="2" t="s">
        <v>21</v>
      </c>
      <c r="G367" s="2" t="s">
        <v>28</v>
      </c>
      <c r="H367" s="2" t="s">
        <v>14</v>
      </c>
    </row>
    <row r="368" customFormat="false" ht="22.35" hidden="false" customHeight="false" outlineLevel="0" collapsed="false">
      <c r="A368" s="2" t="n">
        <v>367</v>
      </c>
      <c r="B368" s="5" t="s">
        <v>1042</v>
      </c>
      <c r="C368" s="2" t="s">
        <v>1043</v>
      </c>
      <c r="D368" s="2" t="s">
        <v>10</v>
      </c>
      <c r="E368" s="2" t="s">
        <v>1044</v>
      </c>
      <c r="F368" s="2" t="s">
        <v>1045</v>
      </c>
      <c r="G368" s="2" t="s">
        <v>28</v>
      </c>
      <c r="H368" s="2" t="s">
        <v>14</v>
      </c>
    </row>
    <row r="369" customFormat="false" ht="15" hidden="false" customHeight="false" outlineLevel="0" collapsed="false">
      <c r="A369" s="2" t="n">
        <v>368</v>
      </c>
      <c r="B369" s="3" t="s">
        <v>1046</v>
      </c>
      <c r="C369" s="2" t="s">
        <v>1047</v>
      </c>
      <c r="D369" s="2" t="s">
        <v>10</v>
      </c>
      <c r="E369" s="2" t="s">
        <v>1044</v>
      </c>
      <c r="F369" s="4" t="s">
        <v>1048</v>
      </c>
      <c r="G369" s="2" t="s">
        <v>28</v>
      </c>
      <c r="H369" s="2" t="s">
        <v>14</v>
      </c>
    </row>
    <row r="370" customFormat="false" ht="22.35" hidden="false" customHeight="false" outlineLevel="0" collapsed="false">
      <c r="A370" s="2" t="n">
        <v>369</v>
      </c>
      <c r="B370" s="5" t="s">
        <v>1049</v>
      </c>
      <c r="C370" s="2" t="s">
        <v>1050</v>
      </c>
      <c r="D370" s="2" t="s">
        <v>806</v>
      </c>
      <c r="E370" s="2" t="s">
        <v>795</v>
      </c>
      <c r="F370" s="2" t="s">
        <v>1051</v>
      </c>
      <c r="G370" s="2" t="s">
        <v>28</v>
      </c>
      <c r="H370" s="2" t="s">
        <v>417</v>
      </c>
    </row>
    <row r="371" customFormat="false" ht="15" hidden="false" customHeight="false" outlineLevel="0" collapsed="false">
      <c r="A371" s="2" t="n">
        <v>370</v>
      </c>
      <c r="B371" s="5" t="s">
        <v>1052</v>
      </c>
      <c r="C371" s="2" t="s">
        <v>1053</v>
      </c>
      <c r="D371" s="2" t="s">
        <v>806</v>
      </c>
      <c r="E371" s="2" t="s">
        <v>880</v>
      </c>
      <c r="F371" s="2" t="s">
        <v>188</v>
      </c>
      <c r="G371" s="2" t="s">
        <v>13</v>
      </c>
      <c r="H371" s="2" t="s">
        <v>14</v>
      </c>
    </row>
    <row r="372" customFormat="false" ht="22.35" hidden="false" customHeight="false" outlineLevel="0" collapsed="false">
      <c r="A372" s="2" t="n">
        <v>371</v>
      </c>
      <c r="B372" s="5" t="s">
        <v>1054</v>
      </c>
      <c r="C372" s="2" t="s">
        <v>1055</v>
      </c>
      <c r="D372" s="2" t="s">
        <v>806</v>
      </c>
      <c r="E372" s="2" t="s">
        <v>1056</v>
      </c>
      <c r="F372" s="2" t="s">
        <v>1057</v>
      </c>
      <c r="G372" s="2" t="s">
        <v>13</v>
      </c>
      <c r="H372" s="2" t="s">
        <v>417</v>
      </c>
    </row>
    <row r="373" customFormat="false" ht="22.35" hidden="false" customHeight="false" outlineLevel="0" collapsed="false">
      <c r="A373" s="2" t="n">
        <v>372</v>
      </c>
      <c r="B373" s="5" t="s">
        <v>1058</v>
      </c>
      <c r="C373" s="2" t="s">
        <v>1059</v>
      </c>
      <c r="D373" s="2" t="s">
        <v>806</v>
      </c>
      <c r="E373" s="2" t="s">
        <v>949</v>
      </c>
      <c r="F373" s="2" t="s">
        <v>1060</v>
      </c>
      <c r="G373" s="2" t="s">
        <v>13</v>
      </c>
      <c r="H373" s="2" t="s">
        <v>417</v>
      </c>
    </row>
    <row r="374" customFormat="false" ht="15" hidden="false" customHeight="false" outlineLevel="0" collapsed="false">
      <c r="A374" s="2" t="n">
        <v>373</v>
      </c>
      <c r="B374" s="5" t="s">
        <v>1061</v>
      </c>
      <c r="C374" s="2" t="s">
        <v>1062</v>
      </c>
      <c r="D374" s="2" t="s">
        <v>806</v>
      </c>
      <c r="E374" s="2" t="s">
        <v>1063</v>
      </c>
      <c r="F374" s="2" t="s">
        <v>413</v>
      </c>
      <c r="G374" s="2" t="s">
        <v>13</v>
      </c>
      <c r="H374" s="2" t="s">
        <v>417</v>
      </c>
    </row>
    <row r="375" customFormat="false" ht="22.35" hidden="false" customHeight="false" outlineLevel="0" collapsed="false">
      <c r="A375" s="2" t="n">
        <v>374</v>
      </c>
      <c r="B375" s="5" t="s">
        <v>1064</v>
      </c>
      <c r="C375" s="2" t="s">
        <v>1065</v>
      </c>
      <c r="D375" s="2" t="s">
        <v>806</v>
      </c>
      <c r="E375" s="2" t="s">
        <v>1066</v>
      </c>
      <c r="F375" s="2" t="s">
        <v>1067</v>
      </c>
      <c r="G375" s="2" t="s">
        <v>13</v>
      </c>
      <c r="H375" s="2" t="s">
        <v>417</v>
      </c>
    </row>
    <row r="376" customFormat="false" ht="22.35" hidden="false" customHeight="false" outlineLevel="0" collapsed="false">
      <c r="A376" s="2" t="n">
        <v>375</v>
      </c>
      <c r="B376" s="5" t="s">
        <v>1068</v>
      </c>
      <c r="C376" s="2" t="s">
        <v>1069</v>
      </c>
      <c r="D376" s="2" t="s">
        <v>806</v>
      </c>
      <c r="E376" s="2" t="s">
        <v>1070</v>
      </c>
      <c r="F376" s="2" t="s">
        <v>1071</v>
      </c>
      <c r="G376" s="2" t="s">
        <v>13</v>
      </c>
      <c r="H376" s="2" t="s">
        <v>417</v>
      </c>
    </row>
    <row r="377" customFormat="false" ht="15" hidden="false" customHeight="false" outlineLevel="0" collapsed="false">
      <c r="A377" s="2" t="n">
        <v>376</v>
      </c>
      <c r="B377" s="5" t="s">
        <v>1072</v>
      </c>
      <c r="C377" s="2" t="s">
        <v>1073</v>
      </c>
      <c r="D377" s="2" t="s">
        <v>755</v>
      </c>
      <c r="E377" s="2" t="s">
        <v>880</v>
      </c>
      <c r="F377" s="2" t="s">
        <v>1074</v>
      </c>
      <c r="G377" s="2" t="s">
        <v>13</v>
      </c>
      <c r="H377" s="2" t="s">
        <v>14</v>
      </c>
    </row>
    <row r="378" customFormat="false" ht="22.35" hidden="false" customHeight="false" outlineLevel="0" collapsed="false">
      <c r="A378" s="2" t="n">
        <v>377</v>
      </c>
      <c r="B378" s="5" t="s">
        <v>1075</v>
      </c>
      <c r="C378" s="2" t="s">
        <v>1076</v>
      </c>
      <c r="D378" s="2" t="s">
        <v>755</v>
      </c>
      <c r="E378" s="2" t="s">
        <v>880</v>
      </c>
      <c r="F378" s="2" t="s">
        <v>35</v>
      </c>
      <c r="G378" s="2" t="s">
        <v>13</v>
      </c>
      <c r="H378" s="2" t="s">
        <v>417</v>
      </c>
    </row>
    <row r="379" customFormat="false" ht="15" hidden="false" customHeight="false" outlineLevel="0" collapsed="false">
      <c r="A379" s="2" t="n">
        <v>378</v>
      </c>
      <c r="B379" s="5" t="s">
        <v>1077</v>
      </c>
      <c r="C379" s="2" t="s">
        <v>1078</v>
      </c>
      <c r="D379" s="2" t="s">
        <v>755</v>
      </c>
      <c r="E379" s="2" t="s">
        <v>890</v>
      </c>
      <c r="F379" s="2" t="s">
        <v>35</v>
      </c>
      <c r="G379" s="2" t="s">
        <v>28</v>
      </c>
      <c r="H379" s="2" t="s">
        <v>417</v>
      </c>
    </row>
    <row r="380" customFormat="false" ht="15" hidden="false" customHeight="false" outlineLevel="0" collapsed="false">
      <c r="A380" s="2" t="n">
        <v>379</v>
      </c>
      <c r="B380" s="5" t="s">
        <v>1079</v>
      </c>
      <c r="C380" s="2" t="s">
        <v>1080</v>
      </c>
      <c r="D380" s="2" t="s">
        <v>755</v>
      </c>
      <c r="E380" s="2" t="s">
        <v>890</v>
      </c>
      <c r="F380" s="2" t="s">
        <v>1081</v>
      </c>
      <c r="G380" s="2" t="s">
        <v>13</v>
      </c>
      <c r="H380" s="2" t="s">
        <v>14</v>
      </c>
    </row>
    <row r="381" customFormat="false" ht="22.35" hidden="false" customHeight="false" outlineLevel="0" collapsed="false">
      <c r="A381" s="2" t="n">
        <v>380</v>
      </c>
      <c r="B381" s="5" t="s">
        <v>1082</v>
      </c>
      <c r="C381" s="2" t="s">
        <v>1083</v>
      </c>
      <c r="D381" s="2" t="s">
        <v>755</v>
      </c>
      <c r="E381" s="2" t="s">
        <v>890</v>
      </c>
      <c r="F381" s="2" t="s">
        <v>1084</v>
      </c>
      <c r="G381" s="2" t="s">
        <v>28</v>
      </c>
      <c r="H381" s="2" t="s">
        <v>417</v>
      </c>
    </row>
    <row r="382" customFormat="false" ht="22.35" hidden="false" customHeight="false" outlineLevel="0" collapsed="false">
      <c r="A382" s="2" t="n">
        <v>381</v>
      </c>
      <c r="B382" s="5" t="s">
        <v>1085</v>
      </c>
      <c r="C382" s="2" t="s">
        <v>1086</v>
      </c>
      <c r="D382" s="2" t="s">
        <v>755</v>
      </c>
      <c r="E382" s="2" t="s">
        <v>890</v>
      </c>
      <c r="F382" s="2" t="s">
        <v>35</v>
      </c>
      <c r="G382" s="2" t="s">
        <v>28</v>
      </c>
      <c r="H382" s="2" t="s">
        <v>14</v>
      </c>
    </row>
    <row r="383" customFormat="false" ht="22.35" hidden="false" customHeight="false" outlineLevel="0" collapsed="false">
      <c r="A383" s="2" t="n">
        <v>382</v>
      </c>
      <c r="B383" s="5" t="s">
        <v>1087</v>
      </c>
      <c r="C383" s="2" t="s">
        <v>1088</v>
      </c>
      <c r="D383" s="2" t="s">
        <v>806</v>
      </c>
      <c r="E383" s="2" t="s">
        <v>1089</v>
      </c>
      <c r="F383" s="2" t="s">
        <v>588</v>
      </c>
      <c r="G383" s="2" t="s">
        <v>13</v>
      </c>
      <c r="H383" s="2" t="s">
        <v>417</v>
      </c>
    </row>
    <row r="384" customFormat="false" ht="15" hidden="false" customHeight="false" outlineLevel="0" collapsed="false">
      <c r="A384" s="2" t="n">
        <v>383</v>
      </c>
      <c r="B384" s="5" t="s">
        <v>1090</v>
      </c>
      <c r="C384" s="2" t="s">
        <v>1091</v>
      </c>
      <c r="D384" s="2" t="s">
        <v>806</v>
      </c>
      <c r="E384" s="2" t="s">
        <v>1092</v>
      </c>
      <c r="F384" s="2" t="s">
        <v>1093</v>
      </c>
      <c r="G384" s="2" t="s">
        <v>13</v>
      </c>
      <c r="H384" s="2" t="s">
        <v>417</v>
      </c>
    </row>
    <row r="385" customFormat="false" ht="22.35" hidden="false" customHeight="false" outlineLevel="0" collapsed="false">
      <c r="A385" s="2" t="n">
        <v>384</v>
      </c>
      <c r="B385" s="5" t="s">
        <v>1094</v>
      </c>
      <c r="C385" s="2" t="s">
        <v>1095</v>
      </c>
      <c r="D385" s="2" t="s">
        <v>806</v>
      </c>
      <c r="E385" s="2" t="s">
        <v>1096</v>
      </c>
      <c r="F385" s="2" t="s">
        <v>960</v>
      </c>
      <c r="G385" s="2" t="s">
        <v>28</v>
      </c>
      <c r="H385" s="2" t="s">
        <v>417</v>
      </c>
    </row>
    <row r="386" customFormat="false" ht="22.35" hidden="false" customHeight="false" outlineLevel="0" collapsed="false">
      <c r="A386" s="2" t="n">
        <v>385</v>
      </c>
      <c r="B386" s="3" t="s">
        <v>1097</v>
      </c>
      <c r="C386" s="2" t="s">
        <v>1098</v>
      </c>
      <c r="D386" s="2" t="s">
        <v>812</v>
      </c>
      <c r="E386" s="2" t="s">
        <v>840</v>
      </c>
      <c r="F386" s="4" t="s">
        <v>1099</v>
      </c>
      <c r="G386" s="2" t="s">
        <v>13</v>
      </c>
      <c r="H386" s="2" t="s">
        <v>14</v>
      </c>
    </row>
    <row r="387" customFormat="false" ht="22.35" hidden="false" customHeight="false" outlineLevel="0" collapsed="false">
      <c r="A387" s="2" t="n">
        <v>386</v>
      </c>
      <c r="B387" s="3" t="s">
        <v>1100</v>
      </c>
      <c r="C387" s="2" t="s">
        <v>1101</v>
      </c>
      <c r="D387" s="2" t="s">
        <v>153</v>
      </c>
      <c r="E387" s="2" t="s">
        <v>840</v>
      </c>
      <c r="F387" s="4" t="s">
        <v>619</v>
      </c>
      <c r="G387" s="2" t="s">
        <v>13</v>
      </c>
      <c r="H387" s="2" t="s">
        <v>14</v>
      </c>
    </row>
    <row r="388" customFormat="false" ht="15" hidden="false" customHeight="false" outlineLevel="0" collapsed="false">
      <c r="A388" s="2" t="n">
        <v>387</v>
      </c>
      <c r="B388" s="5" t="s">
        <v>1102</v>
      </c>
      <c r="C388" s="2" t="s">
        <v>1103</v>
      </c>
      <c r="D388" s="2" t="s">
        <v>806</v>
      </c>
      <c r="E388" s="2" t="s">
        <v>890</v>
      </c>
      <c r="F388" s="2" t="s">
        <v>441</v>
      </c>
      <c r="G388" s="2" t="s">
        <v>28</v>
      </c>
      <c r="H388" s="2" t="s">
        <v>417</v>
      </c>
    </row>
    <row r="389" customFormat="false" ht="22.35" hidden="false" customHeight="false" outlineLevel="0" collapsed="false">
      <c r="A389" s="2" t="n">
        <v>388</v>
      </c>
      <c r="B389" s="5" t="s">
        <v>1104</v>
      </c>
      <c r="C389" s="2" t="s">
        <v>1105</v>
      </c>
      <c r="D389" s="2" t="s">
        <v>806</v>
      </c>
      <c r="E389" s="2" t="s">
        <v>1106</v>
      </c>
      <c r="F389" s="2" t="s">
        <v>480</v>
      </c>
      <c r="G389" s="2" t="s">
        <v>28</v>
      </c>
      <c r="H389" s="2" t="s">
        <v>417</v>
      </c>
    </row>
    <row r="390" customFormat="false" ht="15" hidden="false" customHeight="false" outlineLevel="0" collapsed="false">
      <c r="A390" s="2" t="n">
        <v>389</v>
      </c>
      <c r="B390" s="5" t="s">
        <v>1107</v>
      </c>
      <c r="C390" s="2" t="s">
        <v>1108</v>
      </c>
      <c r="D390" s="2" t="s">
        <v>806</v>
      </c>
      <c r="E390" s="2" t="s">
        <v>1016</v>
      </c>
      <c r="F390" s="2" t="s">
        <v>1109</v>
      </c>
      <c r="G390" s="2" t="s">
        <v>28</v>
      </c>
      <c r="H390" s="2" t="s">
        <v>417</v>
      </c>
    </row>
    <row r="391" customFormat="false" ht="15" hidden="false" customHeight="false" outlineLevel="0" collapsed="false">
      <c r="A391" s="2" t="n">
        <v>390</v>
      </c>
      <c r="B391" s="5" t="s">
        <v>1110</v>
      </c>
      <c r="C391" s="2" t="s">
        <v>1111</v>
      </c>
      <c r="D391" s="2" t="s">
        <v>806</v>
      </c>
      <c r="E391" s="2" t="s">
        <v>818</v>
      </c>
      <c r="F391" s="2" t="s">
        <v>92</v>
      </c>
      <c r="G391" s="2" t="s">
        <v>28</v>
      </c>
      <c r="H391" s="2" t="s">
        <v>417</v>
      </c>
    </row>
    <row r="392" customFormat="false" ht="22.35" hidden="false" customHeight="false" outlineLevel="0" collapsed="false">
      <c r="A392" s="2" t="n">
        <v>391</v>
      </c>
      <c r="B392" s="5" t="s">
        <v>1112</v>
      </c>
      <c r="C392" s="2" t="s">
        <v>1113</v>
      </c>
      <c r="D392" s="2" t="s">
        <v>806</v>
      </c>
      <c r="E392" s="2" t="s">
        <v>1114</v>
      </c>
      <c r="F392" s="2" t="s">
        <v>1115</v>
      </c>
      <c r="G392" s="2" t="s">
        <v>13</v>
      </c>
      <c r="H392" s="2" t="s">
        <v>417</v>
      </c>
    </row>
    <row r="393" customFormat="false" ht="22.35" hidden="false" customHeight="false" outlineLevel="0" collapsed="false">
      <c r="A393" s="2" t="n">
        <v>392</v>
      </c>
      <c r="B393" s="5" t="s">
        <v>1116</v>
      </c>
      <c r="C393" s="2" t="s">
        <v>1117</v>
      </c>
      <c r="D393" s="2" t="s">
        <v>806</v>
      </c>
      <c r="E393" s="2" t="s">
        <v>1118</v>
      </c>
      <c r="F393" s="2" t="s">
        <v>57</v>
      </c>
      <c r="G393" s="2" t="s">
        <v>13</v>
      </c>
      <c r="H393" s="2" t="s">
        <v>417</v>
      </c>
    </row>
    <row r="394" customFormat="false" ht="15" hidden="false" customHeight="false" outlineLevel="0" collapsed="false">
      <c r="A394" s="2" t="n">
        <v>393</v>
      </c>
      <c r="B394" s="5" t="s">
        <v>1119</v>
      </c>
      <c r="C394" s="2" t="s">
        <v>1120</v>
      </c>
      <c r="D394" s="2" t="s">
        <v>806</v>
      </c>
      <c r="E394" s="2" t="s">
        <v>949</v>
      </c>
      <c r="F394" s="2" t="s">
        <v>1121</v>
      </c>
      <c r="G394" s="2" t="s">
        <v>13</v>
      </c>
      <c r="H394" s="2" t="s">
        <v>417</v>
      </c>
    </row>
    <row r="395" customFormat="false" ht="22.35" hidden="false" customHeight="false" outlineLevel="0" collapsed="false">
      <c r="A395" s="2" t="n">
        <v>394</v>
      </c>
      <c r="B395" s="3" t="s">
        <v>1122</v>
      </c>
      <c r="C395" s="2" t="s">
        <v>1123</v>
      </c>
      <c r="D395" s="2" t="s">
        <v>806</v>
      </c>
      <c r="E395" s="2" t="s">
        <v>1124</v>
      </c>
      <c r="F395" s="4" t="s">
        <v>160</v>
      </c>
      <c r="G395" s="2" t="s">
        <v>13</v>
      </c>
      <c r="H395" s="2" t="s">
        <v>417</v>
      </c>
    </row>
    <row r="396" customFormat="false" ht="15" hidden="false" customHeight="false" outlineLevel="0" collapsed="false">
      <c r="A396" s="2" t="n">
        <v>395</v>
      </c>
      <c r="B396" s="5" t="s">
        <v>1125</v>
      </c>
      <c r="C396" s="2" t="s">
        <v>1126</v>
      </c>
      <c r="D396" s="2" t="s">
        <v>806</v>
      </c>
      <c r="E396" s="2" t="s">
        <v>1127</v>
      </c>
      <c r="F396" s="2" t="s">
        <v>92</v>
      </c>
      <c r="G396" s="2" t="s">
        <v>28</v>
      </c>
      <c r="H396" s="2" t="s">
        <v>417</v>
      </c>
    </row>
    <row r="397" customFormat="false" ht="15" hidden="false" customHeight="false" outlineLevel="0" collapsed="false">
      <c r="A397" s="2" t="n">
        <v>396</v>
      </c>
      <c r="B397" s="5" t="s">
        <v>1128</v>
      </c>
      <c r="C397" s="2" t="s">
        <v>1129</v>
      </c>
      <c r="D397" s="2" t="s">
        <v>806</v>
      </c>
      <c r="E397" s="2" t="s">
        <v>880</v>
      </c>
      <c r="F397" s="2" t="s">
        <v>21</v>
      </c>
      <c r="G397" s="2" t="s">
        <v>13</v>
      </c>
      <c r="H397" s="2" t="s">
        <v>14</v>
      </c>
    </row>
    <row r="398" customFormat="false" ht="22.35" hidden="false" customHeight="false" outlineLevel="0" collapsed="false">
      <c r="A398" s="2" t="n">
        <v>397</v>
      </c>
      <c r="B398" s="5" t="s">
        <v>1130</v>
      </c>
      <c r="C398" s="2" t="s">
        <v>1131</v>
      </c>
      <c r="D398" s="2" t="s">
        <v>806</v>
      </c>
      <c r="E398" s="2" t="s">
        <v>880</v>
      </c>
      <c r="F398" s="2" t="s">
        <v>21</v>
      </c>
      <c r="G398" s="2" t="s">
        <v>13</v>
      </c>
      <c r="H398" s="2" t="s">
        <v>417</v>
      </c>
    </row>
    <row r="399" customFormat="false" ht="22.35" hidden="false" customHeight="false" outlineLevel="0" collapsed="false">
      <c r="A399" s="2" t="n">
        <v>398</v>
      </c>
      <c r="B399" s="5" t="s">
        <v>1132</v>
      </c>
      <c r="C399" s="2" t="s">
        <v>1133</v>
      </c>
      <c r="D399" s="2" t="s">
        <v>806</v>
      </c>
      <c r="E399" s="2" t="s">
        <v>880</v>
      </c>
      <c r="F399" s="2" t="s">
        <v>21</v>
      </c>
      <c r="G399" s="2" t="s">
        <v>13</v>
      </c>
      <c r="H399" s="2" t="s">
        <v>14</v>
      </c>
    </row>
    <row r="400" customFormat="false" ht="22.35" hidden="false" customHeight="false" outlineLevel="0" collapsed="false">
      <c r="A400" s="2" t="n">
        <v>399</v>
      </c>
      <c r="B400" s="5" t="s">
        <v>1134</v>
      </c>
      <c r="C400" s="2" t="s">
        <v>1135</v>
      </c>
      <c r="D400" s="2" t="s">
        <v>806</v>
      </c>
      <c r="E400" s="2" t="s">
        <v>818</v>
      </c>
      <c r="F400" s="2" t="s">
        <v>1136</v>
      </c>
      <c r="G400" s="2" t="s">
        <v>28</v>
      </c>
      <c r="H400" s="2" t="s">
        <v>417</v>
      </c>
    </row>
    <row r="401" customFormat="false" ht="22.35" hidden="false" customHeight="false" outlineLevel="0" collapsed="false">
      <c r="A401" s="2" t="n">
        <v>400</v>
      </c>
      <c r="B401" s="5" t="s">
        <v>1137</v>
      </c>
      <c r="C401" s="2" t="s">
        <v>1138</v>
      </c>
      <c r="D401" s="2" t="s">
        <v>806</v>
      </c>
      <c r="E401" s="2" t="s">
        <v>1139</v>
      </c>
      <c r="F401" s="2" t="s">
        <v>1140</v>
      </c>
      <c r="G401" s="2" t="s">
        <v>13</v>
      </c>
      <c r="H401" s="2" t="s">
        <v>14</v>
      </c>
    </row>
    <row r="402" customFormat="false" ht="15" hidden="false" customHeight="false" outlineLevel="0" collapsed="false">
      <c r="A402" s="2" t="n">
        <v>401</v>
      </c>
      <c r="B402" s="5" t="s">
        <v>1141</v>
      </c>
      <c r="C402" s="2" t="s">
        <v>1142</v>
      </c>
      <c r="D402" s="2" t="s">
        <v>1143</v>
      </c>
      <c r="E402" s="2" t="s">
        <v>1144</v>
      </c>
      <c r="F402" s="2" t="s">
        <v>1145</v>
      </c>
      <c r="G402" s="2" t="s">
        <v>13</v>
      </c>
      <c r="H402" s="2" t="s">
        <v>417</v>
      </c>
    </row>
    <row r="403" customFormat="false" ht="22.35" hidden="false" customHeight="false" outlineLevel="0" collapsed="false">
      <c r="A403" s="2" t="n">
        <v>402</v>
      </c>
      <c r="B403" s="5" t="s">
        <v>1146</v>
      </c>
      <c r="C403" s="2" t="s">
        <v>1147</v>
      </c>
      <c r="D403" s="2" t="s">
        <v>806</v>
      </c>
      <c r="E403" s="2" t="s">
        <v>1106</v>
      </c>
      <c r="F403" s="2" t="s">
        <v>480</v>
      </c>
      <c r="G403" s="2" t="s">
        <v>28</v>
      </c>
      <c r="H403" s="2" t="s">
        <v>417</v>
      </c>
    </row>
    <row r="404" customFormat="false" ht="22.35" hidden="false" customHeight="false" outlineLevel="0" collapsed="false">
      <c r="A404" s="2" t="n">
        <v>403</v>
      </c>
      <c r="B404" s="3" t="s">
        <v>1148</v>
      </c>
      <c r="C404" s="2" t="s">
        <v>1149</v>
      </c>
      <c r="D404" s="2" t="s">
        <v>806</v>
      </c>
      <c r="E404" s="2" t="s">
        <v>1150</v>
      </c>
      <c r="F404" s="4" t="s">
        <v>1151</v>
      </c>
      <c r="G404" s="2" t="s">
        <v>13</v>
      </c>
      <c r="H404" s="2" t="s">
        <v>417</v>
      </c>
    </row>
    <row r="405" customFormat="false" ht="22.35" hidden="false" customHeight="false" outlineLevel="0" collapsed="false">
      <c r="A405" s="2" t="n">
        <v>404</v>
      </c>
      <c r="B405" s="3" t="s">
        <v>1152</v>
      </c>
      <c r="C405" s="2" t="s">
        <v>1153</v>
      </c>
      <c r="D405" s="2" t="s">
        <v>153</v>
      </c>
      <c r="E405" s="2" t="s">
        <v>641</v>
      </c>
      <c r="F405" s="4" t="s">
        <v>214</v>
      </c>
      <c r="G405" s="2" t="s">
        <v>13</v>
      </c>
      <c r="H405" s="2" t="s">
        <v>14</v>
      </c>
    </row>
    <row r="406" customFormat="false" ht="15" hidden="false" customHeight="false" outlineLevel="0" collapsed="false">
      <c r="A406" s="2" t="n">
        <v>405</v>
      </c>
      <c r="B406" s="5" t="s">
        <v>1154</v>
      </c>
      <c r="C406" s="2" t="s">
        <v>1155</v>
      </c>
      <c r="D406" s="2" t="s">
        <v>10</v>
      </c>
      <c r="E406" s="2" t="s">
        <v>1156</v>
      </c>
      <c r="F406" s="2" t="s">
        <v>191</v>
      </c>
      <c r="G406" s="2" t="s">
        <v>13</v>
      </c>
      <c r="H406" s="2" t="s">
        <v>14</v>
      </c>
    </row>
    <row r="407" customFormat="false" ht="22.35" hidden="false" customHeight="false" outlineLevel="0" collapsed="false">
      <c r="A407" s="2" t="n">
        <v>406</v>
      </c>
      <c r="B407" s="3" t="s">
        <v>1157</v>
      </c>
      <c r="C407" s="2" t="s">
        <v>1158</v>
      </c>
      <c r="D407" s="2" t="s">
        <v>10</v>
      </c>
      <c r="E407" s="2" t="s">
        <v>1156</v>
      </c>
      <c r="F407" s="4" t="s">
        <v>1159</v>
      </c>
      <c r="G407" s="2" t="s">
        <v>13</v>
      </c>
      <c r="H407" s="2" t="s">
        <v>417</v>
      </c>
    </row>
    <row r="408" customFormat="false" ht="15" hidden="false" customHeight="false" outlineLevel="0" collapsed="false">
      <c r="A408" s="2" t="n">
        <v>407</v>
      </c>
      <c r="B408" s="3" t="s">
        <v>1160</v>
      </c>
      <c r="C408" s="2" t="s">
        <v>1161</v>
      </c>
      <c r="D408" s="2" t="s">
        <v>10</v>
      </c>
      <c r="E408" s="2" t="s">
        <v>1162</v>
      </c>
      <c r="F408" s="4" t="s">
        <v>214</v>
      </c>
      <c r="G408" s="2" t="s">
        <v>13</v>
      </c>
      <c r="H408" s="2" t="s">
        <v>417</v>
      </c>
    </row>
    <row r="409" customFormat="false" ht="15" hidden="false" customHeight="false" outlineLevel="0" collapsed="false">
      <c r="A409" s="2" t="n">
        <v>408</v>
      </c>
      <c r="B409" s="5" t="s">
        <v>1163</v>
      </c>
      <c r="C409" s="2" t="s">
        <v>1164</v>
      </c>
      <c r="D409" s="2" t="s">
        <v>755</v>
      </c>
      <c r="E409" s="2" t="s">
        <v>1165</v>
      </c>
      <c r="F409" s="2" t="s">
        <v>416</v>
      </c>
      <c r="G409" s="2" t="s">
        <v>28</v>
      </c>
      <c r="H409" s="2" t="s">
        <v>417</v>
      </c>
    </row>
    <row r="410" customFormat="false" ht="15" hidden="false" customHeight="false" outlineLevel="0" collapsed="false">
      <c r="A410" s="2" t="n">
        <v>409</v>
      </c>
      <c r="B410" s="5" t="s">
        <v>1166</v>
      </c>
      <c r="C410" s="2" t="s">
        <v>1167</v>
      </c>
      <c r="D410" s="2" t="s">
        <v>806</v>
      </c>
      <c r="E410" s="2" t="s">
        <v>923</v>
      </c>
      <c r="F410" s="2" t="s">
        <v>1168</v>
      </c>
      <c r="G410" s="2" t="s">
        <v>13</v>
      </c>
      <c r="H410" s="2" t="s">
        <v>417</v>
      </c>
    </row>
    <row r="411" customFormat="false" ht="15" hidden="false" customHeight="false" outlineLevel="0" collapsed="false">
      <c r="A411" s="2" t="n">
        <v>410</v>
      </c>
      <c r="B411" s="5" t="s">
        <v>1169</v>
      </c>
      <c r="C411" s="2" t="s">
        <v>1170</v>
      </c>
      <c r="D411" s="2" t="s">
        <v>755</v>
      </c>
      <c r="E411" s="2" t="s">
        <v>844</v>
      </c>
      <c r="F411" s="2" t="s">
        <v>188</v>
      </c>
      <c r="G411" s="2" t="s">
        <v>13</v>
      </c>
      <c r="H411" s="2" t="s">
        <v>14</v>
      </c>
    </row>
    <row r="412" customFormat="false" ht="22.35" hidden="false" customHeight="false" outlineLevel="0" collapsed="false">
      <c r="A412" s="2" t="n">
        <v>411</v>
      </c>
      <c r="B412" s="5" t="s">
        <v>1171</v>
      </c>
      <c r="C412" s="2" t="s">
        <v>1172</v>
      </c>
      <c r="D412" s="2" t="s">
        <v>755</v>
      </c>
      <c r="E412" s="2" t="s">
        <v>844</v>
      </c>
      <c r="F412" s="2" t="s">
        <v>1173</v>
      </c>
      <c r="G412" s="2" t="s">
        <v>13</v>
      </c>
      <c r="H412" s="2" t="s">
        <v>417</v>
      </c>
    </row>
    <row r="413" customFormat="false" ht="15" hidden="false" customHeight="false" outlineLevel="0" collapsed="false">
      <c r="A413" s="2" t="n">
        <v>412</v>
      </c>
      <c r="B413" s="5" t="s">
        <v>1174</v>
      </c>
      <c r="C413" s="2" t="s">
        <v>1175</v>
      </c>
      <c r="D413" s="2" t="s">
        <v>755</v>
      </c>
      <c r="E413" s="2" t="s">
        <v>1176</v>
      </c>
      <c r="F413" s="2" t="s">
        <v>1177</v>
      </c>
      <c r="G413" s="2" t="s">
        <v>13</v>
      </c>
      <c r="H413" s="2" t="s">
        <v>417</v>
      </c>
    </row>
    <row r="414" customFormat="false" ht="15" hidden="false" customHeight="false" outlineLevel="0" collapsed="false">
      <c r="A414" s="2" t="n">
        <v>413</v>
      </c>
      <c r="B414" s="5" t="s">
        <v>1178</v>
      </c>
      <c r="C414" s="2" t="s">
        <v>1179</v>
      </c>
      <c r="D414" s="2" t="s">
        <v>755</v>
      </c>
      <c r="E414" s="2" t="s">
        <v>1180</v>
      </c>
      <c r="F414" s="2" t="s">
        <v>1181</v>
      </c>
      <c r="G414" s="2" t="s">
        <v>13</v>
      </c>
      <c r="H414" s="2" t="s">
        <v>417</v>
      </c>
    </row>
    <row r="415" customFormat="false" ht="15" hidden="false" customHeight="false" outlineLevel="0" collapsed="false">
      <c r="A415" s="2" t="n">
        <v>414</v>
      </c>
      <c r="B415" s="5" t="s">
        <v>1182</v>
      </c>
      <c r="C415" s="2" t="s">
        <v>1183</v>
      </c>
      <c r="D415" s="2" t="s">
        <v>755</v>
      </c>
      <c r="E415" s="2" t="s">
        <v>1184</v>
      </c>
      <c r="F415" s="2" t="s">
        <v>1185</v>
      </c>
      <c r="G415" s="2" t="s">
        <v>13</v>
      </c>
      <c r="H415" s="2" t="s">
        <v>417</v>
      </c>
    </row>
    <row r="416" customFormat="false" ht="15" hidden="false" customHeight="false" outlineLevel="0" collapsed="false">
      <c r="A416" s="2" t="n">
        <v>415</v>
      </c>
      <c r="B416" s="5" t="s">
        <v>1186</v>
      </c>
      <c r="C416" s="2" t="s">
        <v>1187</v>
      </c>
      <c r="D416" s="2" t="s">
        <v>755</v>
      </c>
      <c r="E416" s="2" t="s">
        <v>1188</v>
      </c>
      <c r="F416" s="2" t="s">
        <v>124</v>
      </c>
      <c r="G416" s="2" t="s">
        <v>13</v>
      </c>
      <c r="H416" s="2" t="s">
        <v>417</v>
      </c>
    </row>
    <row r="417" customFormat="false" ht="22.35" hidden="false" customHeight="false" outlineLevel="0" collapsed="false">
      <c r="A417" s="2" t="n">
        <v>416</v>
      </c>
      <c r="B417" s="3" t="s">
        <v>1189</v>
      </c>
      <c r="C417" s="2" t="s">
        <v>1190</v>
      </c>
      <c r="D417" s="2" t="s">
        <v>755</v>
      </c>
      <c r="E417" s="2" t="s">
        <v>1191</v>
      </c>
      <c r="F417" s="4" t="s">
        <v>1192</v>
      </c>
      <c r="G417" s="2" t="s">
        <v>28</v>
      </c>
      <c r="H417" s="2" t="s">
        <v>14</v>
      </c>
    </row>
    <row r="418" customFormat="false" ht="15" hidden="false" customHeight="false" outlineLevel="0" collapsed="false">
      <c r="A418" s="2" t="n">
        <v>417</v>
      </c>
      <c r="B418" s="5" t="s">
        <v>1193</v>
      </c>
      <c r="C418" s="2" t="s">
        <v>1194</v>
      </c>
      <c r="D418" s="2" t="s">
        <v>755</v>
      </c>
      <c r="E418" s="2" t="s">
        <v>1195</v>
      </c>
      <c r="F418" s="2" t="s">
        <v>1196</v>
      </c>
      <c r="G418" s="2" t="s">
        <v>28</v>
      </c>
      <c r="H418" s="2" t="s">
        <v>417</v>
      </c>
    </row>
    <row r="419" customFormat="false" ht="32.8" hidden="false" customHeight="false" outlineLevel="0" collapsed="false">
      <c r="A419" s="2" t="n">
        <v>418</v>
      </c>
      <c r="B419" s="5" t="s">
        <v>1197</v>
      </c>
      <c r="C419" s="2" t="s">
        <v>1198</v>
      </c>
      <c r="D419" s="2" t="s">
        <v>806</v>
      </c>
      <c r="E419" s="2" t="s">
        <v>1199</v>
      </c>
      <c r="F419" s="2" t="s">
        <v>1200</v>
      </c>
      <c r="G419" s="2" t="s">
        <v>13</v>
      </c>
      <c r="H419" s="2" t="s">
        <v>417</v>
      </c>
    </row>
    <row r="420" customFormat="false" ht="15" hidden="false" customHeight="false" outlineLevel="0" collapsed="false">
      <c r="A420" s="2" t="n">
        <v>419</v>
      </c>
      <c r="B420" s="5" t="s">
        <v>1201</v>
      </c>
      <c r="C420" s="2" t="s">
        <v>1202</v>
      </c>
      <c r="D420" s="2" t="s">
        <v>806</v>
      </c>
      <c r="E420" s="2" t="s">
        <v>917</v>
      </c>
      <c r="F420" s="2" t="s">
        <v>1203</v>
      </c>
      <c r="G420" s="2" t="s">
        <v>13</v>
      </c>
      <c r="H420" s="2" t="s">
        <v>14</v>
      </c>
    </row>
    <row r="421" customFormat="false" ht="15" hidden="false" customHeight="false" outlineLevel="0" collapsed="false">
      <c r="A421" s="2" t="n">
        <v>420</v>
      </c>
      <c r="B421" s="5" t="s">
        <v>1204</v>
      </c>
      <c r="C421" s="2" t="s">
        <v>1205</v>
      </c>
      <c r="D421" s="2" t="s">
        <v>806</v>
      </c>
      <c r="E421" s="2" t="s">
        <v>872</v>
      </c>
      <c r="F421" s="2" t="s">
        <v>1206</v>
      </c>
      <c r="G421" s="2" t="s">
        <v>13</v>
      </c>
      <c r="H421" s="2" t="s">
        <v>417</v>
      </c>
    </row>
    <row r="422" customFormat="false" ht="15" hidden="false" customHeight="false" outlineLevel="0" collapsed="false">
      <c r="A422" s="2" t="n">
        <v>421</v>
      </c>
      <c r="B422" s="5" t="s">
        <v>1207</v>
      </c>
      <c r="C422" s="2" t="s">
        <v>1208</v>
      </c>
      <c r="D422" s="2" t="s">
        <v>806</v>
      </c>
      <c r="E422" s="2" t="s">
        <v>1209</v>
      </c>
      <c r="F422" s="2" t="s">
        <v>1210</v>
      </c>
      <c r="G422" s="2" t="s">
        <v>28</v>
      </c>
      <c r="H422" s="2" t="s">
        <v>417</v>
      </c>
    </row>
    <row r="423" customFormat="false" ht="15" hidden="false" customHeight="false" outlineLevel="0" collapsed="false">
      <c r="A423" s="2" t="n">
        <v>422</v>
      </c>
      <c r="B423" s="3" t="s">
        <v>1211</v>
      </c>
      <c r="C423" s="2" t="s">
        <v>1212</v>
      </c>
      <c r="D423" s="2" t="s">
        <v>806</v>
      </c>
      <c r="E423" s="2" t="s">
        <v>872</v>
      </c>
      <c r="F423" s="4" t="s">
        <v>1213</v>
      </c>
      <c r="G423" s="2" t="s">
        <v>28</v>
      </c>
      <c r="H423" s="2" t="s">
        <v>417</v>
      </c>
    </row>
    <row r="424" customFormat="false" ht="22.35" hidden="false" customHeight="false" outlineLevel="0" collapsed="false">
      <c r="A424" s="2" t="n">
        <v>423</v>
      </c>
      <c r="B424" s="5" t="s">
        <v>1214</v>
      </c>
      <c r="C424" s="2" t="s">
        <v>1215</v>
      </c>
      <c r="D424" s="2" t="s">
        <v>1216</v>
      </c>
      <c r="E424" s="2" t="s">
        <v>1217</v>
      </c>
      <c r="F424" s="2" t="s">
        <v>1218</v>
      </c>
      <c r="G424" s="2" t="s">
        <v>28</v>
      </c>
      <c r="H424" s="2" t="s">
        <v>14</v>
      </c>
    </row>
    <row r="425" customFormat="false" ht="15" hidden="false" customHeight="false" outlineLevel="0" collapsed="false">
      <c r="A425" s="2" t="n">
        <v>424</v>
      </c>
      <c r="B425" s="5" t="s">
        <v>1219</v>
      </c>
      <c r="C425" s="2" t="s">
        <v>1220</v>
      </c>
      <c r="D425" s="2" t="s">
        <v>1216</v>
      </c>
      <c r="E425" s="2" t="s">
        <v>1221</v>
      </c>
      <c r="F425" s="2" t="s">
        <v>819</v>
      </c>
      <c r="G425" s="2" t="s">
        <v>28</v>
      </c>
      <c r="H425" s="2" t="s">
        <v>14</v>
      </c>
    </row>
    <row r="426" customFormat="false" ht="22.35" hidden="false" customHeight="false" outlineLevel="0" collapsed="false">
      <c r="A426" s="2" t="n">
        <v>425</v>
      </c>
      <c r="B426" s="5" t="s">
        <v>1222</v>
      </c>
      <c r="C426" s="2" t="s">
        <v>1223</v>
      </c>
      <c r="D426" s="2" t="s">
        <v>1143</v>
      </c>
      <c r="E426" s="2" t="s">
        <v>1016</v>
      </c>
      <c r="F426" s="2" t="s">
        <v>1224</v>
      </c>
      <c r="G426" s="2" t="s">
        <v>28</v>
      </c>
      <c r="H426" s="2" t="s">
        <v>14</v>
      </c>
    </row>
    <row r="427" customFormat="false" ht="22.35" hidden="false" customHeight="false" outlineLevel="0" collapsed="false">
      <c r="A427" s="2" t="n">
        <v>426</v>
      </c>
      <c r="B427" s="5" t="s">
        <v>1225</v>
      </c>
      <c r="C427" s="2" t="s">
        <v>1226</v>
      </c>
      <c r="D427" s="2" t="s">
        <v>1143</v>
      </c>
      <c r="E427" s="2" t="s">
        <v>844</v>
      </c>
      <c r="F427" s="2" t="s">
        <v>52</v>
      </c>
      <c r="G427" s="2" t="s">
        <v>28</v>
      </c>
      <c r="H427" s="2" t="s">
        <v>14</v>
      </c>
    </row>
    <row r="428" customFormat="false" ht="22.35" hidden="false" customHeight="false" outlineLevel="0" collapsed="false">
      <c r="A428" s="2" t="n">
        <v>427</v>
      </c>
      <c r="B428" s="5" t="s">
        <v>1227</v>
      </c>
      <c r="C428" s="2" t="s">
        <v>1228</v>
      </c>
      <c r="D428" s="2" t="s">
        <v>1143</v>
      </c>
      <c r="E428" s="2" t="s">
        <v>1229</v>
      </c>
      <c r="F428" s="2" t="s">
        <v>124</v>
      </c>
      <c r="G428" s="2" t="s">
        <v>28</v>
      </c>
      <c r="H428" s="2" t="s">
        <v>14</v>
      </c>
    </row>
    <row r="429" customFormat="false" ht="15" hidden="false" customHeight="false" outlineLevel="0" collapsed="false">
      <c r="A429" s="2" t="n">
        <v>428</v>
      </c>
      <c r="B429" s="5" t="s">
        <v>1230</v>
      </c>
      <c r="C429" s="2" t="s">
        <v>1231</v>
      </c>
      <c r="D429" s="2" t="s">
        <v>1143</v>
      </c>
      <c r="E429" s="2" t="s">
        <v>1232</v>
      </c>
      <c r="F429" s="2" t="s">
        <v>92</v>
      </c>
      <c r="G429" s="2" t="s">
        <v>28</v>
      </c>
      <c r="H429" s="2" t="s">
        <v>14</v>
      </c>
    </row>
    <row r="430" customFormat="false" ht="15" hidden="false" customHeight="false" outlineLevel="0" collapsed="false">
      <c r="A430" s="2" t="n">
        <v>429</v>
      </c>
      <c r="B430" s="5" t="s">
        <v>1233</v>
      </c>
      <c r="C430" s="2" t="s">
        <v>1234</v>
      </c>
      <c r="D430" s="2" t="s">
        <v>1143</v>
      </c>
      <c r="E430" s="2" t="s">
        <v>1235</v>
      </c>
      <c r="F430" s="2" t="s">
        <v>615</v>
      </c>
      <c r="G430" s="2" t="s">
        <v>28</v>
      </c>
      <c r="H430" s="2" t="s">
        <v>14</v>
      </c>
    </row>
    <row r="431" customFormat="false" ht="15" hidden="false" customHeight="false" outlineLevel="0" collapsed="false">
      <c r="A431" s="2" t="n">
        <v>430</v>
      </c>
      <c r="B431" s="5" t="s">
        <v>1236</v>
      </c>
      <c r="C431" s="2" t="s">
        <v>1237</v>
      </c>
      <c r="D431" s="2" t="s">
        <v>1216</v>
      </c>
      <c r="E431" s="2" t="s">
        <v>1238</v>
      </c>
      <c r="F431" s="2" t="s">
        <v>244</v>
      </c>
      <c r="G431" s="2" t="s">
        <v>28</v>
      </c>
      <c r="H431" s="2" t="s">
        <v>14</v>
      </c>
    </row>
    <row r="432" customFormat="false" ht="15" hidden="false" customHeight="false" outlineLevel="0" collapsed="false">
      <c r="A432" s="2" t="n">
        <v>431</v>
      </c>
      <c r="B432" s="5" t="s">
        <v>1239</v>
      </c>
      <c r="C432" s="2" t="s">
        <v>1240</v>
      </c>
      <c r="D432" s="2" t="s">
        <v>1216</v>
      </c>
      <c r="E432" s="2" t="s">
        <v>1241</v>
      </c>
      <c r="F432" s="2" t="s">
        <v>1242</v>
      </c>
      <c r="G432" s="2" t="s">
        <v>28</v>
      </c>
      <c r="H432" s="2" t="s">
        <v>14</v>
      </c>
    </row>
    <row r="433" customFormat="false" ht="22.35" hidden="false" customHeight="false" outlineLevel="0" collapsed="false">
      <c r="A433" s="2" t="n">
        <v>432</v>
      </c>
      <c r="B433" s="5" t="s">
        <v>1243</v>
      </c>
      <c r="C433" s="2" t="s">
        <v>1244</v>
      </c>
      <c r="D433" s="2" t="s">
        <v>1143</v>
      </c>
      <c r="E433" s="2" t="s">
        <v>795</v>
      </c>
      <c r="F433" s="2" t="s">
        <v>124</v>
      </c>
      <c r="G433" s="2" t="s">
        <v>28</v>
      </c>
      <c r="H433" s="2" t="s">
        <v>14</v>
      </c>
    </row>
    <row r="434" customFormat="false" ht="15" hidden="false" customHeight="false" outlineLevel="0" collapsed="false">
      <c r="A434" s="2" t="n">
        <v>433</v>
      </c>
      <c r="B434" s="5" t="s">
        <v>1245</v>
      </c>
      <c r="C434" s="2" t="s">
        <v>1246</v>
      </c>
      <c r="D434" s="2" t="s">
        <v>1143</v>
      </c>
      <c r="E434" s="2" t="s">
        <v>795</v>
      </c>
      <c r="F434" s="2" t="s">
        <v>984</v>
      </c>
      <c r="G434" s="2" t="s">
        <v>28</v>
      </c>
      <c r="H434" s="2" t="s">
        <v>14</v>
      </c>
    </row>
    <row r="435" customFormat="false" ht="15" hidden="false" customHeight="false" outlineLevel="0" collapsed="false">
      <c r="A435" s="2" t="n">
        <v>434</v>
      </c>
      <c r="B435" s="5" t="s">
        <v>1247</v>
      </c>
      <c r="C435" s="2" t="s">
        <v>1248</v>
      </c>
      <c r="D435" s="2" t="s">
        <v>1143</v>
      </c>
      <c r="E435" s="2" t="s">
        <v>1249</v>
      </c>
      <c r="F435" s="2" t="s">
        <v>92</v>
      </c>
      <c r="G435" s="2" t="s">
        <v>28</v>
      </c>
      <c r="H435" s="2" t="s">
        <v>14</v>
      </c>
    </row>
    <row r="436" customFormat="false" ht="15" hidden="false" customHeight="false" outlineLevel="0" collapsed="false">
      <c r="A436" s="2" t="n">
        <v>435</v>
      </c>
      <c r="B436" s="5" t="s">
        <v>1250</v>
      </c>
      <c r="C436" s="2" t="s">
        <v>1251</v>
      </c>
      <c r="D436" s="2" t="s">
        <v>1143</v>
      </c>
      <c r="E436" s="2" t="s">
        <v>795</v>
      </c>
      <c r="F436" s="2" t="s">
        <v>1252</v>
      </c>
      <c r="G436" s="2" t="s">
        <v>28</v>
      </c>
      <c r="H436" s="2" t="s">
        <v>14</v>
      </c>
    </row>
    <row r="437" customFormat="false" ht="15" hidden="false" customHeight="false" outlineLevel="0" collapsed="false">
      <c r="A437" s="2" t="n">
        <v>436</v>
      </c>
      <c r="B437" s="5" t="s">
        <v>1253</v>
      </c>
      <c r="C437" s="2" t="s">
        <v>1254</v>
      </c>
      <c r="D437" s="2" t="s">
        <v>1143</v>
      </c>
      <c r="E437" s="2" t="s">
        <v>872</v>
      </c>
      <c r="F437" s="2" t="s">
        <v>416</v>
      </c>
      <c r="G437" s="2" t="s">
        <v>28</v>
      </c>
      <c r="H437" s="2" t="s">
        <v>14</v>
      </c>
    </row>
    <row r="438" customFormat="false" ht="22.35" hidden="false" customHeight="false" outlineLevel="0" collapsed="false">
      <c r="A438" s="2" t="n">
        <v>437</v>
      </c>
      <c r="B438" s="5" t="s">
        <v>1255</v>
      </c>
      <c r="C438" s="2" t="s">
        <v>1256</v>
      </c>
      <c r="D438" s="2" t="s">
        <v>1143</v>
      </c>
      <c r="E438" s="2" t="s">
        <v>971</v>
      </c>
      <c r="F438" s="2" t="s">
        <v>35</v>
      </c>
      <c r="G438" s="2" t="s">
        <v>28</v>
      </c>
      <c r="H438" s="2" t="s">
        <v>14</v>
      </c>
    </row>
    <row r="439" customFormat="false" ht="15" hidden="false" customHeight="false" outlineLevel="0" collapsed="false">
      <c r="A439" s="2" t="n">
        <v>438</v>
      </c>
      <c r="B439" s="5" t="s">
        <v>1257</v>
      </c>
      <c r="C439" s="2" t="s">
        <v>1258</v>
      </c>
      <c r="D439" s="2" t="s">
        <v>1259</v>
      </c>
      <c r="E439" s="2" t="s">
        <v>848</v>
      </c>
      <c r="F439" s="2" t="s">
        <v>1260</v>
      </c>
      <c r="G439" s="2" t="s">
        <v>28</v>
      </c>
      <c r="H439" s="2" t="s">
        <v>14</v>
      </c>
    </row>
    <row r="440" customFormat="false" ht="15" hidden="false" customHeight="false" outlineLevel="0" collapsed="false">
      <c r="A440" s="2" t="n">
        <v>439</v>
      </c>
      <c r="B440" s="5" t="s">
        <v>1261</v>
      </c>
      <c r="C440" s="2" t="s">
        <v>1262</v>
      </c>
      <c r="D440" s="2" t="s">
        <v>1263</v>
      </c>
      <c r="E440" s="2" t="s">
        <v>1264</v>
      </c>
      <c r="F440" s="2" t="s">
        <v>57</v>
      </c>
      <c r="G440" s="2" t="s">
        <v>28</v>
      </c>
      <c r="H440" s="2" t="s">
        <v>14</v>
      </c>
    </row>
    <row r="441" customFormat="false" ht="15" hidden="false" customHeight="false" outlineLevel="0" collapsed="false">
      <c r="A441" s="2" t="n">
        <v>440</v>
      </c>
      <c r="B441" s="5" t="s">
        <v>1265</v>
      </c>
      <c r="C441" s="2" t="s">
        <v>1266</v>
      </c>
      <c r="D441" s="2" t="s">
        <v>1263</v>
      </c>
      <c r="E441" s="2" t="s">
        <v>1267</v>
      </c>
      <c r="F441" s="2" t="s">
        <v>1057</v>
      </c>
      <c r="G441" s="2" t="s">
        <v>13</v>
      </c>
      <c r="H441" s="2" t="s">
        <v>14</v>
      </c>
    </row>
    <row r="442" customFormat="false" ht="22.35" hidden="false" customHeight="false" outlineLevel="0" collapsed="false">
      <c r="A442" s="2" t="n">
        <v>441</v>
      </c>
      <c r="B442" s="5" t="s">
        <v>1268</v>
      </c>
      <c r="C442" s="2" t="s">
        <v>1269</v>
      </c>
      <c r="D442" s="2" t="s">
        <v>10</v>
      </c>
      <c r="E442" s="2" t="s">
        <v>1270</v>
      </c>
      <c r="F442" s="2" t="s">
        <v>1023</v>
      </c>
      <c r="G442" s="2" t="s">
        <v>28</v>
      </c>
      <c r="H442" s="2" t="s">
        <v>14</v>
      </c>
    </row>
    <row r="443" customFormat="false" ht="15" hidden="false" customHeight="false" outlineLevel="0" collapsed="false">
      <c r="A443" s="2" t="n">
        <v>442</v>
      </c>
      <c r="B443" s="5" t="s">
        <v>1271</v>
      </c>
      <c r="C443" s="2" t="s">
        <v>1272</v>
      </c>
      <c r="D443" s="2" t="s">
        <v>10</v>
      </c>
      <c r="E443" s="2" t="s">
        <v>729</v>
      </c>
      <c r="F443" s="2" t="s">
        <v>124</v>
      </c>
      <c r="G443" s="2" t="s">
        <v>28</v>
      </c>
      <c r="H443" s="2" t="s">
        <v>14</v>
      </c>
    </row>
    <row r="444" customFormat="false" ht="22.35" hidden="false" customHeight="false" outlineLevel="0" collapsed="false">
      <c r="A444" s="2" t="n">
        <v>443</v>
      </c>
      <c r="B444" s="5" t="s">
        <v>1273</v>
      </c>
      <c r="C444" s="2" t="s">
        <v>1274</v>
      </c>
      <c r="D444" s="2" t="s">
        <v>720</v>
      </c>
      <c r="E444" s="2" t="s">
        <v>65</v>
      </c>
      <c r="F444" s="2" t="s">
        <v>1275</v>
      </c>
      <c r="G444" s="2" t="s">
        <v>13</v>
      </c>
      <c r="H444" s="2" t="s">
        <v>14</v>
      </c>
    </row>
    <row r="445" customFormat="false" ht="22.35" hidden="false" customHeight="false" outlineLevel="0" collapsed="false">
      <c r="A445" s="2" t="n">
        <v>444</v>
      </c>
      <c r="B445" s="5" t="s">
        <v>1276</v>
      </c>
      <c r="C445" s="2" t="s">
        <v>1277</v>
      </c>
      <c r="D445" s="2" t="s">
        <v>720</v>
      </c>
      <c r="E445" s="2" t="s">
        <v>65</v>
      </c>
      <c r="F445" s="2" t="s">
        <v>752</v>
      </c>
      <c r="G445" s="2" t="s">
        <v>13</v>
      </c>
      <c r="H445" s="2" t="s">
        <v>14</v>
      </c>
    </row>
    <row r="446" customFormat="false" ht="22.35" hidden="false" customHeight="false" outlineLevel="0" collapsed="false">
      <c r="A446" s="2" t="n">
        <v>445</v>
      </c>
      <c r="B446" s="3" t="s">
        <v>1278</v>
      </c>
      <c r="C446" s="2" t="s">
        <v>1279</v>
      </c>
      <c r="D446" s="2" t="s">
        <v>720</v>
      </c>
      <c r="E446" s="2" t="s">
        <v>1280</v>
      </c>
      <c r="F446" s="4" t="s">
        <v>1281</v>
      </c>
      <c r="G446" s="2" t="s">
        <v>13</v>
      </c>
      <c r="H446" s="2" t="s">
        <v>14</v>
      </c>
    </row>
    <row r="447" customFormat="false" ht="15" hidden="false" customHeight="false" outlineLevel="0" collapsed="false">
      <c r="A447" s="2" t="n">
        <v>446</v>
      </c>
      <c r="B447" s="5" t="s">
        <v>1282</v>
      </c>
      <c r="C447" s="2" t="s">
        <v>1283</v>
      </c>
      <c r="D447" s="2" t="s">
        <v>1284</v>
      </c>
      <c r="E447" s="2" t="s">
        <v>1285</v>
      </c>
      <c r="F447" s="2" t="s">
        <v>1286</v>
      </c>
      <c r="G447" s="2" t="s">
        <v>13</v>
      </c>
      <c r="H447" s="2" t="s">
        <v>417</v>
      </c>
    </row>
    <row r="448" customFormat="false" ht="22.35" hidden="false" customHeight="false" outlineLevel="0" collapsed="false">
      <c r="A448" s="2" t="n">
        <v>447</v>
      </c>
      <c r="B448" s="3" t="s">
        <v>1287</v>
      </c>
      <c r="C448" s="2" t="s">
        <v>1288</v>
      </c>
      <c r="D448" s="2" t="s">
        <v>10</v>
      </c>
      <c r="E448" s="2" t="s">
        <v>1289</v>
      </c>
      <c r="F448" s="4" t="s">
        <v>160</v>
      </c>
      <c r="G448" s="2" t="s">
        <v>13</v>
      </c>
      <c r="H448" s="2" t="s">
        <v>14</v>
      </c>
    </row>
    <row r="449" customFormat="false" ht="22.35" hidden="false" customHeight="false" outlineLevel="0" collapsed="false">
      <c r="A449" s="2" t="n">
        <v>448</v>
      </c>
      <c r="B449" s="3" t="s">
        <v>1290</v>
      </c>
      <c r="C449" s="2" t="s">
        <v>1291</v>
      </c>
      <c r="D449" s="2" t="s">
        <v>720</v>
      </c>
      <c r="E449" s="2" t="s">
        <v>1292</v>
      </c>
      <c r="F449" s="4" t="s">
        <v>160</v>
      </c>
      <c r="G449" s="2" t="s">
        <v>13</v>
      </c>
      <c r="H449" s="2" t="s">
        <v>14</v>
      </c>
    </row>
    <row r="450" customFormat="false" ht="22.35" hidden="false" customHeight="false" outlineLevel="0" collapsed="false">
      <c r="A450" s="2" t="n">
        <v>449</v>
      </c>
      <c r="B450" s="3" t="s">
        <v>1293</v>
      </c>
      <c r="C450" s="2" t="s">
        <v>1294</v>
      </c>
      <c r="D450" s="2" t="s">
        <v>720</v>
      </c>
      <c r="E450" s="2" t="s">
        <v>1292</v>
      </c>
      <c r="F450" s="4" t="s">
        <v>214</v>
      </c>
      <c r="G450" s="2" t="s">
        <v>13</v>
      </c>
      <c r="H450" s="2" t="s">
        <v>14</v>
      </c>
    </row>
    <row r="451" customFormat="false" ht="22.35" hidden="false" customHeight="false" outlineLevel="0" collapsed="false">
      <c r="A451" s="2" t="n">
        <v>450</v>
      </c>
      <c r="B451" s="5" t="s">
        <v>1295</v>
      </c>
      <c r="C451" s="2" t="s">
        <v>1296</v>
      </c>
      <c r="D451" s="2" t="s">
        <v>720</v>
      </c>
      <c r="E451" s="2" t="s">
        <v>218</v>
      </c>
      <c r="F451" s="2" t="s">
        <v>27</v>
      </c>
      <c r="G451" s="2" t="s">
        <v>13</v>
      </c>
      <c r="H451" s="2" t="s">
        <v>417</v>
      </c>
    </row>
    <row r="452" customFormat="false" ht="22.35" hidden="false" customHeight="false" outlineLevel="0" collapsed="false">
      <c r="A452" s="2" t="n">
        <v>451</v>
      </c>
      <c r="B452" s="3" t="s">
        <v>1297</v>
      </c>
      <c r="C452" s="2" t="s">
        <v>1298</v>
      </c>
      <c r="D452" s="2" t="s">
        <v>720</v>
      </c>
      <c r="E452" s="2" t="s">
        <v>1299</v>
      </c>
      <c r="F452" s="4" t="s">
        <v>1300</v>
      </c>
      <c r="G452" s="2" t="s">
        <v>13</v>
      </c>
      <c r="H452" s="2" t="s">
        <v>14</v>
      </c>
    </row>
    <row r="453" customFormat="false" ht="22.35" hidden="false" customHeight="false" outlineLevel="0" collapsed="false">
      <c r="A453" s="2" t="n">
        <v>452</v>
      </c>
      <c r="B453" s="5" t="s">
        <v>1301</v>
      </c>
      <c r="C453" s="2" t="s">
        <v>1302</v>
      </c>
      <c r="D453" s="2" t="s">
        <v>720</v>
      </c>
      <c r="E453" s="2" t="s">
        <v>45</v>
      </c>
      <c r="F453" s="2" t="s">
        <v>1303</v>
      </c>
      <c r="G453" s="2" t="s">
        <v>13</v>
      </c>
      <c r="H453" s="2" t="s">
        <v>14</v>
      </c>
    </row>
    <row r="454" customFormat="false" ht="22.35" hidden="false" customHeight="false" outlineLevel="0" collapsed="false">
      <c r="A454" s="2" t="n">
        <v>453</v>
      </c>
      <c r="B454" s="3" t="s">
        <v>1304</v>
      </c>
      <c r="C454" s="2" t="s">
        <v>1305</v>
      </c>
      <c r="D454" s="2" t="s">
        <v>720</v>
      </c>
      <c r="E454" s="2" t="s">
        <v>1306</v>
      </c>
      <c r="F454" s="4" t="s">
        <v>1307</v>
      </c>
      <c r="G454" s="2" t="s">
        <v>13</v>
      </c>
      <c r="H454" s="2" t="s">
        <v>14</v>
      </c>
    </row>
    <row r="455" customFormat="false" ht="22.35" hidden="false" customHeight="false" outlineLevel="0" collapsed="false">
      <c r="A455" s="2" t="n">
        <v>454</v>
      </c>
      <c r="B455" s="3" t="s">
        <v>1308</v>
      </c>
      <c r="C455" s="2" t="s">
        <v>1309</v>
      </c>
      <c r="D455" s="2" t="s">
        <v>720</v>
      </c>
      <c r="E455" s="2" t="s">
        <v>1310</v>
      </c>
      <c r="F455" s="4" t="s">
        <v>1311</v>
      </c>
      <c r="G455" s="2" t="s">
        <v>13</v>
      </c>
      <c r="H455" s="2" t="s">
        <v>14</v>
      </c>
    </row>
    <row r="456" customFormat="false" ht="15" hidden="false" customHeight="false" outlineLevel="0" collapsed="false">
      <c r="A456" s="2" t="n">
        <v>455</v>
      </c>
      <c r="B456" s="5" t="s">
        <v>1312</v>
      </c>
      <c r="C456" s="2" t="s">
        <v>1313</v>
      </c>
      <c r="D456" s="2" t="s">
        <v>720</v>
      </c>
      <c r="E456" s="2" t="s">
        <v>218</v>
      </c>
      <c r="F456" s="2" t="s">
        <v>780</v>
      </c>
      <c r="G456" s="2" t="s">
        <v>13</v>
      </c>
      <c r="H456" s="2" t="s">
        <v>14</v>
      </c>
    </row>
    <row r="457" customFormat="false" ht="22.35" hidden="false" customHeight="false" outlineLevel="0" collapsed="false">
      <c r="A457" s="2" t="n">
        <v>456</v>
      </c>
      <c r="B457" s="5" t="s">
        <v>1314</v>
      </c>
      <c r="C457" s="2" t="s">
        <v>1315</v>
      </c>
      <c r="D457" s="2" t="s">
        <v>153</v>
      </c>
      <c r="E457" s="2" t="s">
        <v>729</v>
      </c>
      <c r="F457" s="2" t="s">
        <v>1316</v>
      </c>
      <c r="G457" s="2" t="s">
        <v>13</v>
      </c>
      <c r="H457" s="2" t="s">
        <v>417</v>
      </c>
    </row>
    <row r="458" customFormat="false" ht="22.35" hidden="false" customHeight="false" outlineLevel="0" collapsed="false">
      <c r="A458" s="2" t="n">
        <v>457</v>
      </c>
      <c r="B458" s="5" t="s">
        <v>1317</v>
      </c>
      <c r="C458" s="2" t="s">
        <v>1318</v>
      </c>
      <c r="D458" s="2" t="s">
        <v>720</v>
      </c>
      <c r="E458" s="2" t="s">
        <v>1319</v>
      </c>
      <c r="F458" s="2" t="s">
        <v>1320</v>
      </c>
      <c r="G458" s="2" t="s">
        <v>13</v>
      </c>
      <c r="H458" s="2" t="s">
        <v>417</v>
      </c>
    </row>
    <row r="459" customFormat="false" ht="32.8" hidden="false" customHeight="false" outlineLevel="0" collapsed="false">
      <c r="A459" s="2" t="n">
        <v>458</v>
      </c>
      <c r="B459" s="5" t="s">
        <v>1321</v>
      </c>
      <c r="C459" s="2" t="s">
        <v>1322</v>
      </c>
      <c r="D459" s="2" t="s">
        <v>10</v>
      </c>
      <c r="E459" s="2" t="s">
        <v>1323</v>
      </c>
      <c r="F459" s="2" t="s">
        <v>1324</v>
      </c>
      <c r="G459" s="2" t="s">
        <v>13</v>
      </c>
      <c r="H459" s="2" t="s">
        <v>417</v>
      </c>
    </row>
    <row r="460" customFormat="false" ht="22.35" hidden="false" customHeight="false" outlineLevel="0" collapsed="false">
      <c r="A460" s="2" t="n">
        <v>459</v>
      </c>
      <c r="B460" s="5" t="s">
        <v>1325</v>
      </c>
      <c r="C460" s="2" t="s">
        <v>1326</v>
      </c>
      <c r="D460" s="2" t="s">
        <v>720</v>
      </c>
      <c r="E460" s="2" t="s">
        <v>1327</v>
      </c>
      <c r="F460" s="2" t="s">
        <v>1328</v>
      </c>
      <c r="G460" s="2" t="s">
        <v>13</v>
      </c>
      <c r="H460" s="2" t="s">
        <v>417</v>
      </c>
    </row>
    <row r="461" customFormat="false" ht="22.35" hidden="false" customHeight="false" outlineLevel="0" collapsed="false">
      <c r="A461" s="2" t="n">
        <v>460</v>
      </c>
      <c r="B461" s="3" t="s">
        <v>1329</v>
      </c>
      <c r="C461" s="2" t="s">
        <v>1330</v>
      </c>
      <c r="D461" s="2" t="s">
        <v>720</v>
      </c>
      <c r="E461" s="2" t="s">
        <v>1331</v>
      </c>
      <c r="F461" s="4" t="s">
        <v>1332</v>
      </c>
      <c r="G461" s="2" t="s">
        <v>13</v>
      </c>
      <c r="H461" s="2" t="s">
        <v>14</v>
      </c>
    </row>
    <row r="462" customFormat="false" ht="22.35" hidden="false" customHeight="false" outlineLevel="0" collapsed="false">
      <c r="A462" s="2" t="n">
        <v>461</v>
      </c>
      <c r="B462" s="3" t="s">
        <v>1333</v>
      </c>
      <c r="C462" s="2" t="s">
        <v>1334</v>
      </c>
      <c r="D462" s="2" t="s">
        <v>720</v>
      </c>
      <c r="E462" s="2" t="s">
        <v>934</v>
      </c>
      <c r="F462" s="4" t="s">
        <v>1335</v>
      </c>
      <c r="G462" s="2" t="s">
        <v>13</v>
      </c>
      <c r="H462" s="2" t="s">
        <v>417</v>
      </c>
    </row>
    <row r="463" customFormat="false" ht="15" hidden="false" customHeight="false" outlineLevel="0" collapsed="false">
      <c r="A463" s="2" t="n">
        <v>462</v>
      </c>
      <c r="B463" s="5" t="s">
        <v>1336</v>
      </c>
      <c r="C463" s="2" t="s">
        <v>1337</v>
      </c>
      <c r="D463" s="2" t="s">
        <v>720</v>
      </c>
      <c r="E463" s="2" t="s">
        <v>818</v>
      </c>
      <c r="F463" s="2" t="s">
        <v>92</v>
      </c>
      <c r="G463" s="2" t="s">
        <v>28</v>
      </c>
      <c r="H463" s="2" t="s">
        <v>14</v>
      </c>
    </row>
    <row r="464" customFormat="false" ht="15" hidden="false" customHeight="false" outlineLevel="0" collapsed="false">
      <c r="A464" s="2" t="n">
        <v>463</v>
      </c>
      <c r="B464" s="5" t="s">
        <v>1338</v>
      </c>
      <c r="C464" s="2" t="s">
        <v>1339</v>
      </c>
      <c r="D464" s="2" t="s">
        <v>720</v>
      </c>
      <c r="E464" s="2" t="s">
        <v>880</v>
      </c>
      <c r="F464" s="2" t="s">
        <v>92</v>
      </c>
      <c r="G464" s="2" t="s">
        <v>13</v>
      </c>
      <c r="H464" s="2" t="s">
        <v>417</v>
      </c>
    </row>
    <row r="465" customFormat="false" ht="22.35" hidden="false" customHeight="false" outlineLevel="0" collapsed="false">
      <c r="A465" s="2" t="n">
        <v>464</v>
      </c>
      <c r="B465" s="3" t="s">
        <v>1340</v>
      </c>
      <c r="C465" s="2" t="s">
        <v>1341</v>
      </c>
      <c r="D465" s="2" t="s">
        <v>720</v>
      </c>
      <c r="E465" s="2" t="s">
        <v>1342</v>
      </c>
      <c r="F465" s="4" t="s">
        <v>841</v>
      </c>
      <c r="G465" s="2" t="s">
        <v>13</v>
      </c>
      <c r="H465" s="2" t="s">
        <v>14</v>
      </c>
    </row>
    <row r="466" customFormat="false" ht="22.35" hidden="false" customHeight="false" outlineLevel="0" collapsed="false">
      <c r="A466" s="2" t="n">
        <v>465</v>
      </c>
      <c r="B466" s="5" t="s">
        <v>1343</v>
      </c>
      <c r="C466" s="2" t="s">
        <v>1344</v>
      </c>
      <c r="D466" s="2" t="s">
        <v>10</v>
      </c>
      <c r="E466" s="2" t="s">
        <v>1345</v>
      </c>
      <c r="F466" s="2" t="s">
        <v>1346</v>
      </c>
      <c r="G466" s="2" t="s">
        <v>13</v>
      </c>
      <c r="H466" s="2" t="s">
        <v>417</v>
      </c>
    </row>
    <row r="467" customFormat="false" ht="15" hidden="false" customHeight="false" outlineLevel="0" collapsed="false">
      <c r="A467" s="2" t="n">
        <v>466</v>
      </c>
      <c r="B467" s="5" t="s">
        <v>1347</v>
      </c>
      <c r="C467" s="2" t="s">
        <v>1348</v>
      </c>
      <c r="D467" s="2" t="s">
        <v>720</v>
      </c>
      <c r="E467" s="2" t="s">
        <v>218</v>
      </c>
      <c r="F467" s="2" t="s">
        <v>1349</v>
      </c>
      <c r="G467" s="2" t="s">
        <v>13</v>
      </c>
      <c r="H467" s="2" t="s">
        <v>417</v>
      </c>
    </row>
    <row r="468" customFormat="false" ht="22.35" hidden="false" customHeight="false" outlineLevel="0" collapsed="false">
      <c r="A468" s="2" t="n">
        <v>467</v>
      </c>
      <c r="B468" s="5" t="s">
        <v>1350</v>
      </c>
      <c r="C468" s="2" t="s">
        <v>1351</v>
      </c>
      <c r="D468" s="2" t="s">
        <v>720</v>
      </c>
      <c r="E468" s="2" t="s">
        <v>1352</v>
      </c>
      <c r="F468" s="2" t="s">
        <v>1353</v>
      </c>
      <c r="G468" s="2" t="s">
        <v>13</v>
      </c>
      <c r="H468" s="2" t="s">
        <v>417</v>
      </c>
    </row>
    <row r="469" customFormat="false" ht="22.35" hidden="false" customHeight="false" outlineLevel="0" collapsed="false">
      <c r="A469" s="2" t="n">
        <v>468</v>
      </c>
      <c r="B469" s="3" t="s">
        <v>1354</v>
      </c>
      <c r="C469" s="2" t="s">
        <v>1355</v>
      </c>
      <c r="D469" s="2" t="s">
        <v>10</v>
      </c>
      <c r="E469" s="2" t="s">
        <v>1356</v>
      </c>
      <c r="F469" s="4" t="s">
        <v>1357</v>
      </c>
      <c r="G469" s="2" t="s">
        <v>13</v>
      </c>
      <c r="H469" s="2" t="s">
        <v>14</v>
      </c>
    </row>
    <row r="470" customFormat="false" ht="22.35" hidden="false" customHeight="false" outlineLevel="0" collapsed="false">
      <c r="A470" s="2" t="n">
        <v>469</v>
      </c>
      <c r="B470" s="5" t="s">
        <v>1358</v>
      </c>
      <c r="C470" s="2" t="s">
        <v>1359</v>
      </c>
      <c r="D470" s="2" t="s">
        <v>720</v>
      </c>
      <c r="E470" s="2" t="s">
        <v>1360</v>
      </c>
      <c r="F470" s="2" t="s">
        <v>1361</v>
      </c>
      <c r="G470" s="2" t="s">
        <v>13</v>
      </c>
      <c r="H470" s="2" t="s">
        <v>417</v>
      </c>
    </row>
    <row r="471" customFormat="false" ht="22.35" hidden="false" customHeight="false" outlineLevel="0" collapsed="false">
      <c r="A471" s="2" t="n">
        <v>470</v>
      </c>
      <c r="B471" s="3" t="s">
        <v>1362</v>
      </c>
      <c r="C471" s="2" t="s">
        <v>1363</v>
      </c>
      <c r="D471" s="2" t="s">
        <v>10</v>
      </c>
      <c r="E471" s="2" t="s">
        <v>729</v>
      </c>
      <c r="F471" s="4" t="s">
        <v>1311</v>
      </c>
      <c r="G471" s="2" t="s">
        <v>28</v>
      </c>
      <c r="H471" s="2" t="s">
        <v>417</v>
      </c>
    </row>
    <row r="472" customFormat="false" ht="22.35" hidden="false" customHeight="false" outlineLevel="0" collapsed="false">
      <c r="A472" s="2" t="n">
        <v>471</v>
      </c>
      <c r="B472" s="5" t="s">
        <v>1364</v>
      </c>
      <c r="C472" s="2" t="s">
        <v>1365</v>
      </c>
      <c r="D472" s="2" t="s">
        <v>720</v>
      </c>
      <c r="E472" s="2" t="s">
        <v>934</v>
      </c>
      <c r="F472" s="2" t="s">
        <v>314</v>
      </c>
      <c r="G472" s="2" t="s">
        <v>28</v>
      </c>
      <c r="H472" s="2" t="s">
        <v>417</v>
      </c>
    </row>
    <row r="473" customFormat="false" ht="22.35" hidden="false" customHeight="false" outlineLevel="0" collapsed="false">
      <c r="A473" s="2" t="n">
        <v>472</v>
      </c>
      <c r="B473" s="5" t="s">
        <v>1366</v>
      </c>
      <c r="C473" s="2" t="s">
        <v>1367</v>
      </c>
      <c r="D473" s="2" t="s">
        <v>720</v>
      </c>
      <c r="E473" s="2" t="s">
        <v>1156</v>
      </c>
      <c r="F473" s="2" t="s">
        <v>1368</v>
      </c>
      <c r="G473" s="2" t="s">
        <v>13</v>
      </c>
      <c r="H473" s="2" t="s">
        <v>14</v>
      </c>
    </row>
    <row r="474" customFormat="false" ht="15" hidden="false" customHeight="false" outlineLevel="0" collapsed="false">
      <c r="A474" s="2" t="n">
        <v>473</v>
      </c>
      <c r="B474" s="5" t="s">
        <v>1369</v>
      </c>
      <c r="C474" s="2" t="s">
        <v>1370</v>
      </c>
      <c r="D474" s="2" t="s">
        <v>720</v>
      </c>
      <c r="E474" s="2" t="s">
        <v>1342</v>
      </c>
      <c r="F474" s="2" t="s">
        <v>52</v>
      </c>
      <c r="G474" s="2" t="s">
        <v>13</v>
      </c>
      <c r="H474" s="2" t="s">
        <v>14</v>
      </c>
    </row>
    <row r="475" customFormat="false" ht="22.35" hidden="false" customHeight="false" outlineLevel="0" collapsed="false">
      <c r="A475" s="2" t="n">
        <v>474</v>
      </c>
      <c r="B475" s="5" t="s">
        <v>1371</v>
      </c>
      <c r="C475" s="2" t="s">
        <v>1372</v>
      </c>
      <c r="D475" s="2" t="s">
        <v>720</v>
      </c>
      <c r="E475" s="2" t="s">
        <v>729</v>
      </c>
      <c r="F475" s="2" t="s">
        <v>124</v>
      </c>
      <c r="G475" s="2" t="s">
        <v>13</v>
      </c>
      <c r="H475" s="2" t="s">
        <v>417</v>
      </c>
    </row>
    <row r="476" customFormat="false" ht="22.35" hidden="false" customHeight="false" outlineLevel="0" collapsed="false">
      <c r="A476" s="2" t="n">
        <v>475</v>
      </c>
      <c r="B476" s="5" t="s">
        <v>1373</v>
      </c>
      <c r="C476" s="2" t="s">
        <v>1374</v>
      </c>
      <c r="D476" s="2" t="s">
        <v>720</v>
      </c>
      <c r="E476" s="2" t="s">
        <v>1375</v>
      </c>
      <c r="F476" s="2" t="s">
        <v>722</v>
      </c>
      <c r="G476" s="2" t="s">
        <v>13</v>
      </c>
      <c r="H476" s="2" t="s">
        <v>417</v>
      </c>
    </row>
    <row r="477" customFormat="false" ht="15" hidden="false" customHeight="false" outlineLevel="0" collapsed="false">
      <c r="A477" s="2" t="n">
        <v>476</v>
      </c>
      <c r="B477" s="5" t="s">
        <v>1376</v>
      </c>
      <c r="C477" s="2" t="s">
        <v>1377</v>
      </c>
      <c r="D477" s="2" t="s">
        <v>720</v>
      </c>
      <c r="E477" s="2" t="s">
        <v>218</v>
      </c>
      <c r="F477" s="2" t="s">
        <v>1378</v>
      </c>
      <c r="G477" s="2" t="s">
        <v>13</v>
      </c>
      <c r="H477" s="2" t="s">
        <v>417</v>
      </c>
    </row>
    <row r="478" customFormat="false" ht="22.35" hidden="false" customHeight="false" outlineLevel="0" collapsed="false">
      <c r="A478" s="2" t="n">
        <v>477</v>
      </c>
      <c r="B478" s="5" t="s">
        <v>1379</v>
      </c>
      <c r="C478" s="2" t="s">
        <v>1380</v>
      </c>
      <c r="D478" s="2" t="s">
        <v>720</v>
      </c>
      <c r="E478" s="2" t="s">
        <v>795</v>
      </c>
      <c r="F478" s="2" t="s">
        <v>92</v>
      </c>
      <c r="G478" s="2" t="s">
        <v>13</v>
      </c>
      <c r="H478" s="2" t="s">
        <v>14</v>
      </c>
    </row>
    <row r="479" customFormat="false" ht="15" hidden="false" customHeight="false" outlineLevel="0" collapsed="false">
      <c r="A479" s="2" t="n">
        <v>478</v>
      </c>
      <c r="B479" s="5" t="s">
        <v>1381</v>
      </c>
      <c r="C479" s="2" t="s">
        <v>1382</v>
      </c>
      <c r="D479" s="2" t="s">
        <v>10</v>
      </c>
      <c r="E479" s="2" t="s">
        <v>880</v>
      </c>
      <c r="F479" s="2" t="s">
        <v>1383</v>
      </c>
      <c r="G479" s="2" t="s">
        <v>13</v>
      </c>
      <c r="H479" s="2" t="s">
        <v>417</v>
      </c>
    </row>
    <row r="480" customFormat="false" ht="22.35" hidden="false" customHeight="false" outlineLevel="0" collapsed="false">
      <c r="A480" s="2" t="n">
        <v>479</v>
      </c>
      <c r="B480" s="5" t="s">
        <v>1384</v>
      </c>
      <c r="C480" s="2" t="s">
        <v>1385</v>
      </c>
      <c r="D480" s="2" t="s">
        <v>720</v>
      </c>
      <c r="E480" s="2" t="s">
        <v>1386</v>
      </c>
      <c r="F480" s="2" t="s">
        <v>1387</v>
      </c>
      <c r="G480" s="2" t="s">
        <v>28</v>
      </c>
      <c r="H480" s="2" t="s">
        <v>417</v>
      </c>
    </row>
    <row r="481" customFormat="false" ht="15" hidden="false" customHeight="false" outlineLevel="0" collapsed="false">
      <c r="A481" s="2" t="n">
        <v>480</v>
      </c>
      <c r="B481" s="5" t="s">
        <v>1388</v>
      </c>
      <c r="C481" s="2" t="s">
        <v>1389</v>
      </c>
      <c r="D481" s="2" t="s">
        <v>720</v>
      </c>
      <c r="E481" s="2" t="s">
        <v>795</v>
      </c>
      <c r="F481" s="2" t="s">
        <v>1390</v>
      </c>
      <c r="G481" s="2" t="s">
        <v>28</v>
      </c>
      <c r="H481" s="2" t="s">
        <v>417</v>
      </c>
    </row>
    <row r="482" customFormat="false" ht="15" hidden="false" customHeight="false" outlineLevel="0" collapsed="false">
      <c r="A482" s="2" t="n">
        <v>481</v>
      </c>
      <c r="B482" s="3" t="s">
        <v>1391</v>
      </c>
      <c r="C482" s="2" t="s">
        <v>1392</v>
      </c>
      <c r="D482" s="2" t="s">
        <v>720</v>
      </c>
      <c r="E482" s="2" t="s">
        <v>880</v>
      </c>
      <c r="F482" s="4" t="s">
        <v>1393</v>
      </c>
      <c r="G482" s="2" t="s">
        <v>13</v>
      </c>
      <c r="H482" s="2" t="s">
        <v>14</v>
      </c>
    </row>
    <row r="483" customFormat="false" ht="15" hidden="false" customHeight="false" outlineLevel="0" collapsed="false">
      <c r="A483" s="2" t="n">
        <v>482</v>
      </c>
      <c r="B483" s="5" t="s">
        <v>1394</v>
      </c>
      <c r="C483" s="2" t="s">
        <v>1395</v>
      </c>
      <c r="D483" s="2" t="s">
        <v>720</v>
      </c>
      <c r="E483" s="2" t="s">
        <v>1396</v>
      </c>
      <c r="F483" s="2" t="s">
        <v>1397</v>
      </c>
      <c r="G483" s="2" t="s">
        <v>13</v>
      </c>
      <c r="H483" s="2" t="s">
        <v>417</v>
      </c>
    </row>
    <row r="484" customFormat="false" ht="22.35" hidden="false" customHeight="false" outlineLevel="0" collapsed="false">
      <c r="A484" s="2" t="n">
        <v>483</v>
      </c>
      <c r="B484" s="5" t="s">
        <v>1398</v>
      </c>
      <c r="C484" s="2" t="s">
        <v>1399</v>
      </c>
      <c r="D484" s="2" t="s">
        <v>720</v>
      </c>
      <c r="E484" s="2" t="s">
        <v>1400</v>
      </c>
      <c r="F484" s="2" t="s">
        <v>1401</v>
      </c>
      <c r="G484" s="2" t="s">
        <v>13</v>
      </c>
      <c r="H484" s="2" t="s">
        <v>417</v>
      </c>
    </row>
    <row r="485" customFormat="false" ht="15" hidden="false" customHeight="false" outlineLevel="0" collapsed="false">
      <c r="A485" s="2" t="n">
        <v>484</v>
      </c>
      <c r="B485" s="3" t="s">
        <v>1402</v>
      </c>
      <c r="C485" s="2" t="s">
        <v>1403</v>
      </c>
      <c r="D485" s="2" t="s">
        <v>720</v>
      </c>
      <c r="E485" s="2" t="s">
        <v>1404</v>
      </c>
      <c r="F485" s="4" t="s">
        <v>1405</v>
      </c>
      <c r="G485" s="2" t="s">
        <v>13</v>
      </c>
      <c r="H485" s="2" t="s">
        <v>14</v>
      </c>
    </row>
    <row r="486" customFormat="false" ht="22.35" hidden="false" customHeight="false" outlineLevel="0" collapsed="false">
      <c r="A486" s="2" t="n">
        <v>485</v>
      </c>
      <c r="B486" s="3" t="s">
        <v>1406</v>
      </c>
      <c r="C486" s="2" t="s">
        <v>1407</v>
      </c>
      <c r="D486" s="2" t="s">
        <v>720</v>
      </c>
      <c r="E486" s="2" t="s">
        <v>218</v>
      </c>
      <c r="F486" s="4" t="s">
        <v>1408</v>
      </c>
      <c r="G486" s="2" t="s">
        <v>13</v>
      </c>
      <c r="H486" s="2" t="s">
        <v>14</v>
      </c>
    </row>
    <row r="487" customFormat="false" ht="22.35" hidden="false" customHeight="false" outlineLevel="0" collapsed="false">
      <c r="A487" s="2" t="n">
        <v>486</v>
      </c>
      <c r="B487" s="5" t="s">
        <v>1409</v>
      </c>
      <c r="C487" s="2" t="s">
        <v>1410</v>
      </c>
      <c r="D487" s="2" t="s">
        <v>720</v>
      </c>
      <c r="E487" s="2" t="s">
        <v>1310</v>
      </c>
      <c r="F487" s="2" t="s">
        <v>1411</v>
      </c>
      <c r="G487" s="2" t="s">
        <v>13</v>
      </c>
      <c r="H487" s="2" t="s">
        <v>417</v>
      </c>
    </row>
    <row r="488" customFormat="false" ht="22.35" hidden="false" customHeight="false" outlineLevel="0" collapsed="false">
      <c r="A488" s="2" t="n">
        <v>487</v>
      </c>
      <c r="B488" s="5" t="s">
        <v>1412</v>
      </c>
      <c r="C488" s="2" t="s">
        <v>1413</v>
      </c>
      <c r="D488" s="2" t="s">
        <v>720</v>
      </c>
      <c r="E488" s="2" t="s">
        <v>1310</v>
      </c>
      <c r="F488" s="2" t="s">
        <v>1414</v>
      </c>
      <c r="G488" s="2" t="s">
        <v>13</v>
      </c>
      <c r="H488" s="2" t="s">
        <v>14</v>
      </c>
    </row>
    <row r="489" customFormat="false" ht="22.35" hidden="false" customHeight="false" outlineLevel="0" collapsed="false">
      <c r="A489" s="2" t="n">
        <v>488</v>
      </c>
      <c r="B489" s="5" t="s">
        <v>1415</v>
      </c>
      <c r="C489" s="2" t="s">
        <v>1416</v>
      </c>
      <c r="D489" s="2" t="s">
        <v>720</v>
      </c>
      <c r="E489" s="2" t="s">
        <v>721</v>
      </c>
      <c r="F489" s="2" t="s">
        <v>21</v>
      </c>
      <c r="G489" s="2" t="s">
        <v>13</v>
      </c>
      <c r="H489" s="2" t="s">
        <v>417</v>
      </c>
    </row>
    <row r="490" customFormat="false" ht="15" hidden="false" customHeight="false" outlineLevel="0" collapsed="false">
      <c r="A490" s="2" t="n">
        <v>489</v>
      </c>
      <c r="B490" s="5" t="s">
        <v>1417</v>
      </c>
      <c r="C490" s="2" t="s">
        <v>1418</v>
      </c>
      <c r="D490" s="2" t="s">
        <v>720</v>
      </c>
      <c r="E490" s="2" t="s">
        <v>725</v>
      </c>
      <c r="F490" s="2" t="s">
        <v>726</v>
      </c>
      <c r="G490" s="2" t="s">
        <v>13</v>
      </c>
      <c r="H490" s="2" t="s">
        <v>417</v>
      </c>
    </row>
    <row r="491" customFormat="false" ht="22.35" hidden="false" customHeight="false" outlineLevel="0" collapsed="false">
      <c r="A491" s="2" t="n">
        <v>490</v>
      </c>
      <c r="B491" s="5" t="s">
        <v>1419</v>
      </c>
      <c r="C491" s="2" t="s">
        <v>1420</v>
      </c>
      <c r="D491" s="2" t="s">
        <v>10</v>
      </c>
      <c r="E491" s="2" t="s">
        <v>1375</v>
      </c>
      <c r="F491" s="2" t="s">
        <v>1421</v>
      </c>
      <c r="G491" s="2" t="s">
        <v>13</v>
      </c>
      <c r="H491" s="2" t="s">
        <v>417</v>
      </c>
    </row>
    <row r="492" customFormat="false" ht="22.35" hidden="false" customHeight="false" outlineLevel="0" collapsed="false">
      <c r="A492" s="2" t="n">
        <v>491</v>
      </c>
      <c r="B492" s="3" t="s">
        <v>1422</v>
      </c>
      <c r="C492" s="2" t="s">
        <v>1423</v>
      </c>
      <c r="D492" s="2" t="s">
        <v>720</v>
      </c>
      <c r="E492" s="2" t="s">
        <v>983</v>
      </c>
      <c r="F492" s="4" t="s">
        <v>1424</v>
      </c>
      <c r="G492" s="2" t="s">
        <v>13</v>
      </c>
      <c r="H492" s="2" t="s">
        <v>14</v>
      </c>
    </row>
    <row r="493" customFormat="false" ht="15" hidden="false" customHeight="false" outlineLevel="0" collapsed="false">
      <c r="A493" s="2" t="n">
        <v>492</v>
      </c>
      <c r="B493" s="5" t="s">
        <v>1425</v>
      </c>
      <c r="C493" s="2" t="s">
        <v>1426</v>
      </c>
      <c r="D493" s="2" t="s">
        <v>720</v>
      </c>
      <c r="E493" s="2" t="s">
        <v>983</v>
      </c>
      <c r="F493" s="2" t="s">
        <v>188</v>
      </c>
      <c r="G493" s="2" t="s">
        <v>13</v>
      </c>
      <c r="H493" s="2" t="s">
        <v>417</v>
      </c>
    </row>
    <row r="494" customFormat="false" ht="22.35" hidden="false" customHeight="false" outlineLevel="0" collapsed="false">
      <c r="A494" s="2" t="n">
        <v>493</v>
      </c>
      <c r="B494" s="5" t="s">
        <v>1427</v>
      </c>
      <c r="C494" s="2" t="s">
        <v>1428</v>
      </c>
      <c r="D494" s="2" t="s">
        <v>720</v>
      </c>
      <c r="E494" s="2" t="s">
        <v>880</v>
      </c>
      <c r="F494" s="2" t="s">
        <v>1429</v>
      </c>
      <c r="G494" s="2" t="s">
        <v>13</v>
      </c>
      <c r="H494" s="2" t="s">
        <v>417</v>
      </c>
    </row>
    <row r="495" customFormat="false" ht="22.35" hidden="false" customHeight="false" outlineLevel="0" collapsed="false">
      <c r="A495" s="2" t="n">
        <v>494</v>
      </c>
      <c r="B495" s="5" t="s">
        <v>1430</v>
      </c>
      <c r="C495" s="2" t="s">
        <v>1431</v>
      </c>
      <c r="D495" s="2" t="s">
        <v>720</v>
      </c>
      <c r="E495" s="2" t="s">
        <v>1432</v>
      </c>
      <c r="F495" s="2" t="s">
        <v>1433</v>
      </c>
      <c r="G495" s="2" t="s">
        <v>13</v>
      </c>
      <c r="H495" s="2" t="s">
        <v>14</v>
      </c>
    </row>
    <row r="496" customFormat="false" ht="15" hidden="false" customHeight="false" outlineLevel="0" collapsed="false">
      <c r="A496" s="2" t="n">
        <v>495</v>
      </c>
      <c r="B496" s="5" t="s">
        <v>1434</v>
      </c>
      <c r="C496" s="2" t="s">
        <v>1435</v>
      </c>
      <c r="D496" s="2" t="s">
        <v>720</v>
      </c>
      <c r="E496" s="2" t="s">
        <v>1436</v>
      </c>
      <c r="F496" s="2" t="s">
        <v>546</v>
      </c>
      <c r="G496" s="2" t="s">
        <v>13</v>
      </c>
      <c r="H496" s="2" t="s">
        <v>14</v>
      </c>
    </row>
    <row r="497" customFormat="false" ht="22.35" hidden="false" customHeight="false" outlineLevel="0" collapsed="false">
      <c r="A497" s="2" t="n">
        <v>496</v>
      </c>
      <c r="B497" s="5" t="s">
        <v>1437</v>
      </c>
      <c r="C497" s="2" t="s">
        <v>1438</v>
      </c>
      <c r="D497" s="2" t="s">
        <v>720</v>
      </c>
      <c r="E497" s="2" t="s">
        <v>1439</v>
      </c>
      <c r="F497" s="2" t="s">
        <v>546</v>
      </c>
      <c r="G497" s="2" t="s">
        <v>28</v>
      </c>
      <c r="H497" s="2" t="s">
        <v>14</v>
      </c>
    </row>
    <row r="498" customFormat="false" ht="22.35" hidden="false" customHeight="false" outlineLevel="0" collapsed="false">
      <c r="A498" s="2" t="n">
        <v>497</v>
      </c>
      <c r="B498" s="5" t="s">
        <v>1440</v>
      </c>
      <c r="C498" s="2" t="s">
        <v>1441</v>
      </c>
      <c r="D498" s="2" t="s">
        <v>10</v>
      </c>
      <c r="E498" s="2" t="s">
        <v>1442</v>
      </c>
      <c r="F498" s="2" t="s">
        <v>1443</v>
      </c>
      <c r="G498" s="2" t="s">
        <v>13</v>
      </c>
      <c r="H498" s="2" t="s">
        <v>14</v>
      </c>
    </row>
    <row r="499" customFormat="false" ht="15" hidden="false" customHeight="false" outlineLevel="0" collapsed="false">
      <c r="A499" s="2" t="n">
        <v>498</v>
      </c>
      <c r="B499" s="5" t="s">
        <v>1444</v>
      </c>
      <c r="C499" s="2" t="s">
        <v>1445</v>
      </c>
      <c r="D499" s="2" t="s">
        <v>10</v>
      </c>
      <c r="E499" s="2" t="s">
        <v>218</v>
      </c>
      <c r="F499" s="2" t="s">
        <v>771</v>
      </c>
      <c r="G499" s="2" t="s">
        <v>13</v>
      </c>
      <c r="H499" s="2" t="s">
        <v>14</v>
      </c>
    </row>
    <row r="500" customFormat="false" ht="22.35" hidden="false" customHeight="false" outlineLevel="0" collapsed="false">
      <c r="A500" s="2" t="n">
        <v>499</v>
      </c>
      <c r="B500" s="5" t="s">
        <v>1446</v>
      </c>
      <c r="C500" s="2" t="s">
        <v>1447</v>
      </c>
      <c r="D500" s="2" t="s">
        <v>10</v>
      </c>
      <c r="E500" s="2" t="s">
        <v>1448</v>
      </c>
      <c r="F500" s="2" t="s">
        <v>1449</v>
      </c>
      <c r="G500" s="2" t="s">
        <v>13</v>
      </c>
      <c r="H500" s="2" t="s">
        <v>417</v>
      </c>
    </row>
    <row r="501" customFormat="false" ht="22.35" hidden="false" customHeight="false" outlineLevel="0" collapsed="false">
      <c r="A501" s="2" t="n">
        <v>500</v>
      </c>
      <c r="B501" s="5" t="s">
        <v>1450</v>
      </c>
      <c r="C501" s="2" t="s">
        <v>1451</v>
      </c>
      <c r="D501" s="2" t="s">
        <v>10</v>
      </c>
      <c r="E501" s="2" t="s">
        <v>836</v>
      </c>
      <c r="F501" s="2" t="s">
        <v>1452</v>
      </c>
      <c r="G501" s="2" t="s">
        <v>13</v>
      </c>
      <c r="H501" s="2" t="s">
        <v>14</v>
      </c>
    </row>
    <row r="502" customFormat="false" ht="22.35" hidden="false" customHeight="false" outlineLevel="0" collapsed="false">
      <c r="A502" s="2" t="n">
        <v>501</v>
      </c>
      <c r="B502" s="5" t="s">
        <v>1453</v>
      </c>
      <c r="C502" s="2" t="s">
        <v>1454</v>
      </c>
      <c r="D502" s="2" t="s">
        <v>10</v>
      </c>
      <c r="E502" s="2" t="s">
        <v>836</v>
      </c>
      <c r="F502" s="2" t="s">
        <v>124</v>
      </c>
      <c r="G502" s="2" t="s">
        <v>13</v>
      </c>
      <c r="H502" s="2" t="s">
        <v>417</v>
      </c>
    </row>
    <row r="503" customFormat="false" ht="22.35" hidden="false" customHeight="false" outlineLevel="0" collapsed="false">
      <c r="A503" s="2" t="n">
        <v>502</v>
      </c>
      <c r="B503" s="3" t="s">
        <v>1455</v>
      </c>
      <c r="C503" s="2" t="s">
        <v>1456</v>
      </c>
      <c r="D503" s="2" t="s">
        <v>10</v>
      </c>
      <c r="E503" s="2" t="s">
        <v>1457</v>
      </c>
      <c r="F503" s="4" t="s">
        <v>1458</v>
      </c>
      <c r="G503" s="2" t="s">
        <v>13</v>
      </c>
      <c r="H503" s="2" t="s">
        <v>14</v>
      </c>
    </row>
    <row r="504" customFormat="false" ht="22.35" hidden="false" customHeight="false" outlineLevel="0" collapsed="false">
      <c r="A504" s="2" t="n">
        <v>503</v>
      </c>
      <c r="B504" s="3" t="s">
        <v>1459</v>
      </c>
      <c r="C504" s="2" t="s">
        <v>1460</v>
      </c>
      <c r="D504" s="2" t="s">
        <v>10</v>
      </c>
      <c r="E504" s="2" t="s">
        <v>1461</v>
      </c>
      <c r="F504" s="4" t="s">
        <v>1462</v>
      </c>
      <c r="G504" s="2" t="s">
        <v>13</v>
      </c>
      <c r="H504" s="2" t="s">
        <v>417</v>
      </c>
    </row>
    <row r="505" customFormat="false" ht="15" hidden="false" customHeight="false" outlineLevel="0" collapsed="false">
      <c r="A505" s="2" t="n">
        <v>504</v>
      </c>
      <c r="B505" s="3" t="s">
        <v>1463</v>
      </c>
      <c r="C505" s="2" t="s">
        <v>1464</v>
      </c>
      <c r="D505" s="2" t="s">
        <v>10</v>
      </c>
      <c r="E505" s="2" t="s">
        <v>1465</v>
      </c>
      <c r="F505" s="4" t="s">
        <v>1466</v>
      </c>
      <c r="G505" s="2" t="s">
        <v>13</v>
      </c>
      <c r="H505" s="2" t="s">
        <v>14</v>
      </c>
    </row>
    <row r="506" customFormat="false" ht="22.35" hidden="false" customHeight="false" outlineLevel="0" collapsed="false">
      <c r="A506" s="2" t="n">
        <v>505</v>
      </c>
      <c r="B506" s="3" t="s">
        <v>1467</v>
      </c>
      <c r="C506" s="2" t="s">
        <v>1468</v>
      </c>
      <c r="D506" s="2" t="s">
        <v>10</v>
      </c>
      <c r="E506" s="2" t="s">
        <v>1469</v>
      </c>
      <c r="F506" s="4" t="s">
        <v>1470</v>
      </c>
      <c r="G506" s="2" t="s">
        <v>13</v>
      </c>
      <c r="H506" s="2" t="s">
        <v>417</v>
      </c>
    </row>
    <row r="507" customFormat="false" ht="22.35" hidden="false" customHeight="false" outlineLevel="0" collapsed="false">
      <c r="A507" s="2" t="n">
        <v>506</v>
      </c>
      <c r="B507" s="5" t="s">
        <v>1471</v>
      </c>
      <c r="C507" s="2" t="s">
        <v>1472</v>
      </c>
      <c r="D507" s="2" t="s">
        <v>10</v>
      </c>
      <c r="E507" s="2" t="s">
        <v>218</v>
      </c>
      <c r="F507" s="2" t="s">
        <v>1473</v>
      </c>
      <c r="G507" s="2" t="s">
        <v>13</v>
      </c>
      <c r="H507" s="2" t="s">
        <v>417</v>
      </c>
    </row>
    <row r="508" customFormat="false" ht="22.35" hidden="false" customHeight="false" outlineLevel="0" collapsed="false">
      <c r="A508" s="2" t="n">
        <v>507</v>
      </c>
      <c r="B508" s="5" t="s">
        <v>1474</v>
      </c>
      <c r="C508" s="2" t="s">
        <v>1475</v>
      </c>
      <c r="D508" s="2" t="s">
        <v>10</v>
      </c>
      <c r="E508" s="2" t="s">
        <v>1476</v>
      </c>
      <c r="F508" s="2" t="s">
        <v>1477</v>
      </c>
      <c r="G508" s="2" t="s">
        <v>13</v>
      </c>
      <c r="H508" s="2" t="s">
        <v>14</v>
      </c>
    </row>
    <row r="509" customFormat="false" ht="15" hidden="false" customHeight="false" outlineLevel="0" collapsed="false">
      <c r="A509" s="2" t="n">
        <v>508</v>
      </c>
      <c r="B509" s="3" t="s">
        <v>1478</v>
      </c>
      <c r="C509" s="2" t="s">
        <v>1479</v>
      </c>
      <c r="D509" s="2" t="s">
        <v>10</v>
      </c>
      <c r="E509" s="2" t="s">
        <v>218</v>
      </c>
      <c r="F509" s="4" t="s">
        <v>17</v>
      </c>
      <c r="G509" s="2" t="s">
        <v>13</v>
      </c>
      <c r="H509" s="2" t="s">
        <v>14</v>
      </c>
    </row>
    <row r="510" customFormat="false" ht="22.35" hidden="false" customHeight="false" outlineLevel="0" collapsed="false">
      <c r="A510" s="2" t="n">
        <v>509</v>
      </c>
      <c r="B510" s="5" t="s">
        <v>1480</v>
      </c>
      <c r="C510" s="2" t="s">
        <v>1481</v>
      </c>
      <c r="D510" s="2" t="s">
        <v>10</v>
      </c>
      <c r="E510" s="2" t="s">
        <v>1442</v>
      </c>
      <c r="F510" s="2" t="s">
        <v>184</v>
      </c>
      <c r="G510" s="2" t="s">
        <v>13</v>
      </c>
      <c r="H510" s="2" t="s">
        <v>14</v>
      </c>
    </row>
    <row r="511" customFormat="false" ht="15" hidden="false" customHeight="false" outlineLevel="0" collapsed="false">
      <c r="A511" s="2" t="n">
        <v>510</v>
      </c>
      <c r="B511" s="5" t="s">
        <v>1482</v>
      </c>
      <c r="C511" s="2" t="s">
        <v>1483</v>
      </c>
      <c r="D511" s="2" t="s">
        <v>10</v>
      </c>
      <c r="E511" s="2" t="s">
        <v>218</v>
      </c>
      <c r="F511" s="2" t="s">
        <v>1484</v>
      </c>
      <c r="G511" s="2" t="s">
        <v>13</v>
      </c>
      <c r="H511" s="2" t="s">
        <v>417</v>
      </c>
    </row>
    <row r="512" customFormat="false" ht="15" hidden="false" customHeight="false" outlineLevel="0" collapsed="false">
      <c r="A512" s="2" t="n">
        <v>511</v>
      </c>
      <c r="B512" s="5" t="s">
        <v>1485</v>
      </c>
      <c r="C512" s="2" t="s">
        <v>1486</v>
      </c>
      <c r="D512" s="2" t="s">
        <v>10</v>
      </c>
      <c r="E512" s="2" t="s">
        <v>218</v>
      </c>
      <c r="F512" s="2" t="s">
        <v>186</v>
      </c>
      <c r="G512" s="2" t="s">
        <v>13</v>
      </c>
      <c r="H512" s="2" t="s">
        <v>14</v>
      </c>
    </row>
    <row r="513" customFormat="false" ht="22.35" hidden="false" customHeight="false" outlineLevel="0" collapsed="false">
      <c r="A513" s="2" t="n">
        <v>512</v>
      </c>
      <c r="B513" s="5" t="s">
        <v>1487</v>
      </c>
      <c r="C513" s="2" t="s">
        <v>1488</v>
      </c>
      <c r="D513" s="2" t="s">
        <v>10</v>
      </c>
      <c r="E513" s="2" t="s">
        <v>218</v>
      </c>
      <c r="F513" s="2" t="s">
        <v>1489</v>
      </c>
      <c r="G513" s="2" t="s">
        <v>13</v>
      </c>
      <c r="H513" s="2" t="s">
        <v>417</v>
      </c>
    </row>
    <row r="514" customFormat="false" ht="22.35" hidden="false" customHeight="false" outlineLevel="0" collapsed="false">
      <c r="A514" s="2" t="n">
        <v>513</v>
      </c>
      <c r="B514" s="5" t="s">
        <v>1490</v>
      </c>
      <c r="C514" s="2" t="s">
        <v>1491</v>
      </c>
      <c r="D514" s="2" t="s">
        <v>10</v>
      </c>
      <c r="E514" s="2" t="s">
        <v>1492</v>
      </c>
      <c r="F514" s="2" t="s">
        <v>1081</v>
      </c>
      <c r="G514" s="2" t="s">
        <v>13</v>
      </c>
      <c r="H514" s="2" t="s">
        <v>14</v>
      </c>
    </row>
    <row r="515" customFormat="false" ht="22.35" hidden="false" customHeight="false" outlineLevel="0" collapsed="false">
      <c r="A515" s="2" t="n">
        <v>514</v>
      </c>
      <c r="B515" s="5" t="s">
        <v>1493</v>
      </c>
      <c r="C515" s="2" t="s">
        <v>1494</v>
      </c>
      <c r="D515" s="2" t="s">
        <v>10</v>
      </c>
      <c r="E515" s="2" t="s">
        <v>1495</v>
      </c>
      <c r="F515" s="2" t="s">
        <v>1496</v>
      </c>
      <c r="G515" s="2" t="s">
        <v>13</v>
      </c>
      <c r="H515" s="2" t="s">
        <v>14</v>
      </c>
    </row>
    <row r="516" customFormat="false" ht="22.35" hidden="false" customHeight="false" outlineLevel="0" collapsed="false">
      <c r="A516" s="2" t="n">
        <v>515</v>
      </c>
      <c r="B516" s="3" t="s">
        <v>1497</v>
      </c>
      <c r="C516" s="2" t="s">
        <v>1498</v>
      </c>
      <c r="D516" s="2" t="s">
        <v>10</v>
      </c>
      <c r="E516" s="2" t="s">
        <v>218</v>
      </c>
      <c r="F516" s="4" t="s">
        <v>1499</v>
      </c>
      <c r="G516" s="2" t="s">
        <v>13</v>
      </c>
      <c r="H516" s="2" t="s">
        <v>14</v>
      </c>
    </row>
    <row r="517" customFormat="false" ht="22.35" hidden="false" customHeight="false" outlineLevel="0" collapsed="false">
      <c r="A517" s="2" t="n">
        <v>516</v>
      </c>
      <c r="B517" s="5" t="s">
        <v>1500</v>
      </c>
      <c r="C517" s="2" t="s">
        <v>1501</v>
      </c>
      <c r="D517" s="2" t="s">
        <v>10</v>
      </c>
      <c r="E517" s="2" t="s">
        <v>1375</v>
      </c>
      <c r="F517" s="2" t="s">
        <v>1502</v>
      </c>
      <c r="G517" s="2" t="s">
        <v>13</v>
      </c>
      <c r="H517" s="2" t="s">
        <v>417</v>
      </c>
    </row>
    <row r="518" customFormat="false" ht="32.8" hidden="false" customHeight="false" outlineLevel="0" collapsed="false">
      <c r="A518" s="2" t="n">
        <v>517</v>
      </c>
      <c r="B518" s="5" t="s">
        <v>1503</v>
      </c>
      <c r="C518" s="2" t="s">
        <v>1504</v>
      </c>
      <c r="D518" s="2" t="s">
        <v>10</v>
      </c>
      <c r="E518" s="2" t="s">
        <v>1505</v>
      </c>
      <c r="F518" s="2" t="s">
        <v>1506</v>
      </c>
      <c r="G518" s="2" t="s">
        <v>13</v>
      </c>
      <c r="H518" s="2" t="s">
        <v>417</v>
      </c>
    </row>
    <row r="519" customFormat="false" ht="22.35" hidden="false" customHeight="false" outlineLevel="0" collapsed="false">
      <c r="A519" s="2" t="n">
        <v>518</v>
      </c>
      <c r="B519" s="3" t="s">
        <v>1507</v>
      </c>
      <c r="C519" s="2" t="s">
        <v>1508</v>
      </c>
      <c r="D519" s="2" t="s">
        <v>720</v>
      </c>
      <c r="E519" s="2" t="s">
        <v>218</v>
      </c>
      <c r="F519" s="4" t="s">
        <v>1509</v>
      </c>
      <c r="G519" s="2" t="s">
        <v>13</v>
      </c>
      <c r="H519" s="2" t="s">
        <v>417</v>
      </c>
    </row>
    <row r="520" customFormat="false" ht="22.35" hidden="false" customHeight="false" outlineLevel="0" collapsed="false">
      <c r="A520" s="2" t="n">
        <v>519</v>
      </c>
      <c r="B520" s="3" t="s">
        <v>1510</v>
      </c>
      <c r="C520" s="2" t="s">
        <v>1511</v>
      </c>
      <c r="D520" s="2" t="s">
        <v>10</v>
      </c>
      <c r="E520" s="2" t="s">
        <v>65</v>
      </c>
      <c r="F520" s="4" t="s">
        <v>1509</v>
      </c>
      <c r="G520" s="2" t="s">
        <v>28</v>
      </c>
      <c r="H520" s="2" t="s">
        <v>14</v>
      </c>
    </row>
    <row r="521" customFormat="false" ht="15" hidden="false" customHeight="false" outlineLevel="0" collapsed="false">
      <c r="A521" s="2" t="n">
        <v>520</v>
      </c>
      <c r="B521" s="5" t="s">
        <v>1512</v>
      </c>
      <c r="C521" s="2" t="s">
        <v>1513</v>
      </c>
      <c r="D521" s="2" t="s">
        <v>153</v>
      </c>
      <c r="E521" s="2" t="s">
        <v>1056</v>
      </c>
      <c r="F521" s="2" t="s">
        <v>1514</v>
      </c>
      <c r="G521" s="2" t="s">
        <v>13</v>
      </c>
      <c r="H521" s="2" t="s">
        <v>417</v>
      </c>
    </row>
    <row r="522" customFormat="false" ht="22.35" hidden="false" customHeight="false" outlineLevel="0" collapsed="false">
      <c r="A522" s="2" t="n">
        <v>521</v>
      </c>
      <c r="B522" s="5" t="s">
        <v>1515</v>
      </c>
      <c r="C522" s="2" t="s">
        <v>1516</v>
      </c>
      <c r="D522" s="2" t="s">
        <v>10</v>
      </c>
      <c r="E522" s="2" t="s">
        <v>1517</v>
      </c>
      <c r="F522" s="2" t="s">
        <v>1518</v>
      </c>
      <c r="G522" s="2" t="s">
        <v>13</v>
      </c>
      <c r="H522" s="2" t="s">
        <v>14</v>
      </c>
    </row>
    <row r="523" customFormat="false" ht="22.35" hidden="false" customHeight="false" outlineLevel="0" collapsed="false">
      <c r="A523" s="2" t="n">
        <v>522</v>
      </c>
      <c r="B523" s="5" t="s">
        <v>1519</v>
      </c>
      <c r="C523" s="2" t="s">
        <v>1520</v>
      </c>
      <c r="D523" s="2" t="s">
        <v>10</v>
      </c>
      <c r="E523" s="2" t="s">
        <v>1292</v>
      </c>
      <c r="F523" s="2" t="s">
        <v>1521</v>
      </c>
      <c r="G523" s="2" t="s">
        <v>13</v>
      </c>
      <c r="H523" s="2" t="s">
        <v>417</v>
      </c>
    </row>
    <row r="524" customFormat="false" ht="15" hidden="false" customHeight="false" outlineLevel="0" collapsed="false">
      <c r="A524" s="2" t="n">
        <v>523</v>
      </c>
      <c r="B524" s="5" t="s">
        <v>1522</v>
      </c>
      <c r="C524" s="2" t="s">
        <v>1523</v>
      </c>
      <c r="D524" s="2" t="s">
        <v>10</v>
      </c>
      <c r="E524" s="2" t="s">
        <v>218</v>
      </c>
      <c r="F524" s="2" t="s">
        <v>1524</v>
      </c>
      <c r="G524" s="2" t="s">
        <v>13</v>
      </c>
      <c r="H524" s="2" t="s">
        <v>417</v>
      </c>
    </row>
    <row r="525" customFormat="false" ht="32.8" hidden="false" customHeight="false" outlineLevel="0" collapsed="false">
      <c r="A525" s="2" t="n">
        <v>524</v>
      </c>
      <c r="B525" s="3" t="s">
        <v>1525</v>
      </c>
      <c r="C525" s="2" t="s">
        <v>1526</v>
      </c>
      <c r="D525" s="2" t="s">
        <v>10</v>
      </c>
      <c r="E525" s="2" t="s">
        <v>1527</v>
      </c>
      <c r="F525" s="4" t="s">
        <v>1357</v>
      </c>
      <c r="G525" s="2" t="s">
        <v>13</v>
      </c>
      <c r="H525" s="2" t="s">
        <v>14</v>
      </c>
    </row>
    <row r="526" customFormat="false" ht="32.8" hidden="false" customHeight="false" outlineLevel="0" collapsed="false">
      <c r="A526" s="2" t="n">
        <v>525</v>
      </c>
      <c r="B526" s="3" t="s">
        <v>1528</v>
      </c>
      <c r="C526" s="2" t="s">
        <v>1529</v>
      </c>
      <c r="D526" s="2" t="s">
        <v>10</v>
      </c>
      <c r="E526" s="2" t="s">
        <v>1530</v>
      </c>
      <c r="F526" s="4" t="s">
        <v>1531</v>
      </c>
      <c r="G526" s="2" t="s">
        <v>13</v>
      </c>
      <c r="H526" s="2" t="s">
        <v>417</v>
      </c>
    </row>
    <row r="527" customFormat="false" ht="22.35" hidden="false" customHeight="false" outlineLevel="0" collapsed="false">
      <c r="A527" s="2" t="n">
        <v>526</v>
      </c>
      <c r="B527" s="5" t="s">
        <v>1532</v>
      </c>
      <c r="C527" s="2" t="s">
        <v>1533</v>
      </c>
      <c r="D527" s="2" t="s">
        <v>720</v>
      </c>
      <c r="E527" s="2" t="s">
        <v>1534</v>
      </c>
      <c r="F527" s="2" t="s">
        <v>1535</v>
      </c>
      <c r="G527" s="2" t="s">
        <v>13</v>
      </c>
      <c r="H527" s="2" t="s">
        <v>417</v>
      </c>
    </row>
    <row r="528" customFormat="false" ht="15" hidden="false" customHeight="false" outlineLevel="0" collapsed="false">
      <c r="A528" s="2" t="n">
        <v>527</v>
      </c>
      <c r="B528" s="5" t="s">
        <v>1536</v>
      </c>
      <c r="C528" s="2" t="s">
        <v>1537</v>
      </c>
      <c r="D528" s="2" t="s">
        <v>720</v>
      </c>
      <c r="E528" s="2" t="s">
        <v>851</v>
      </c>
      <c r="F528" s="2" t="s">
        <v>1538</v>
      </c>
      <c r="G528" s="2" t="s">
        <v>13</v>
      </c>
      <c r="H528" s="2" t="s">
        <v>417</v>
      </c>
    </row>
    <row r="529" customFormat="false" ht="22.35" hidden="false" customHeight="false" outlineLevel="0" collapsed="false">
      <c r="A529" s="2" t="n">
        <v>528</v>
      </c>
      <c r="B529" s="5" t="s">
        <v>1539</v>
      </c>
      <c r="C529" s="2" t="s">
        <v>1540</v>
      </c>
      <c r="D529" s="2" t="s">
        <v>10</v>
      </c>
      <c r="E529" s="2" t="s">
        <v>1156</v>
      </c>
      <c r="F529" s="2" t="s">
        <v>1541</v>
      </c>
      <c r="G529" s="2" t="s">
        <v>13</v>
      </c>
      <c r="H529" s="2" t="s">
        <v>14</v>
      </c>
    </row>
    <row r="530" customFormat="false" ht="22.35" hidden="false" customHeight="false" outlineLevel="0" collapsed="false">
      <c r="A530" s="2" t="n">
        <v>529</v>
      </c>
      <c r="B530" s="5" t="s">
        <v>1542</v>
      </c>
      <c r="C530" s="2" t="s">
        <v>1543</v>
      </c>
      <c r="D530" s="2" t="s">
        <v>10</v>
      </c>
      <c r="E530" s="2" t="s">
        <v>1544</v>
      </c>
      <c r="F530" s="2" t="s">
        <v>1545</v>
      </c>
      <c r="G530" s="2" t="s">
        <v>13</v>
      </c>
      <c r="H530" s="2" t="s">
        <v>417</v>
      </c>
    </row>
    <row r="531" customFormat="false" ht="15" hidden="false" customHeight="false" outlineLevel="0" collapsed="false">
      <c r="A531" s="2" t="n">
        <v>530</v>
      </c>
      <c r="B531" s="5" t="s">
        <v>1546</v>
      </c>
      <c r="C531" s="2" t="s">
        <v>1547</v>
      </c>
      <c r="D531" s="2" t="s">
        <v>10</v>
      </c>
      <c r="E531" s="2" t="s">
        <v>1156</v>
      </c>
      <c r="F531" s="2" t="s">
        <v>722</v>
      </c>
      <c r="G531" s="2" t="s">
        <v>13</v>
      </c>
      <c r="H531" s="2" t="s">
        <v>14</v>
      </c>
    </row>
    <row r="532" customFormat="false" ht="22.35" hidden="false" customHeight="false" outlineLevel="0" collapsed="false">
      <c r="A532" s="2" t="n">
        <v>531</v>
      </c>
      <c r="B532" s="5" t="s">
        <v>1548</v>
      </c>
      <c r="C532" s="2" t="s">
        <v>1549</v>
      </c>
      <c r="D532" s="2" t="s">
        <v>720</v>
      </c>
      <c r="E532" s="2" t="s">
        <v>1156</v>
      </c>
      <c r="F532" s="2" t="s">
        <v>1550</v>
      </c>
      <c r="G532" s="2" t="s">
        <v>13</v>
      </c>
      <c r="H532" s="2" t="s">
        <v>417</v>
      </c>
    </row>
    <row r="533" customFormat="false" ht="15" hidden="false" customHeight="false" outlineLevel="0" collapsed="false">
      <c r="A533" s="2" t="n">
        <v>532</v>
      </c>
      <c r="B533" s="3" t="s">
        <v>1551</v>
      </c>
      <c r="C533" s="2" t="s">
        <v>1552</v>
      </c>
      <c r="D533" s="2" t="s">
        <v>10</v>
      </c>
      <c r="E533" s="2" t="s">
        <v>880</v>
      </c>
      <c r="F533" s="4" t="s">
        <v>1509</v>
      </c>
      <c r="G533" s="2" t="s">
        <v>13</v>
      </c>
      <c r="H533" s="2" t="s">
        <v>14</v>
      </c>
    </row>
    <row r="534" customFormat="false" ht="22.35" hidden="false" customHeight="false" outlineLevel="0" collapsed="false">
      <c r="A534" s="2" t="n">
        <v>533</v>
      </c>
      <c r="B534" s="5" t="s">
        <v>1553</v>
      </c>
      <c r="C534" s="2" t="s">
        <v>1554</v>
      </c>
      <c r="D534" s="2" t="s">
        <v>10</v>
      </c>
      <c r="E534" s="2" t="s">
        <v>1310</v>
      </c>
      <c r="F534" s="2" t="s">
        <v>1414</v>
      </c>
      <c r="G534" s="2" t="s">
        <v>13</v>
      </c>
      <c r="H534" s="2" t="s">
        <v>14</v>
      </c>
    </row>
    <row r="535" customFormat="false" ht="15" hidden="false" customHeight="false" outlineLevel="0" collapsed="false">
      <c r="A535" s="2" t="n">
        <v>534</v>
      </c>
      <c r="B535" s="5" t="s">
        <v>1555</v>
      </c>
      <c r="C535" s="2" t="s">
        <v>1556</v>
      </c>
      <c r="D535" s="2" t="s">
        <v>10</v>
      </c>
      <c r="E535" s="2" t="s">
        <v>880</v>
      </c>
      <c r="F535" s="2" t="s">
        <v>1557</v>
      </c>
      <c r="G535" s="2" t="s">
        <v>13</v>
      </c>
      <c r="H535" s="2" t="s">
        <v>417</v>
      </c>
    </row>
    <row r="536" customFormat="false" ht="15" hidden="false" customHeight="false" outlineLevel="0" collapsed="false">
      <c r="A536" s="2" t="n">
        <v>535</v>
      </c>
      <c r="B536" s="5" t="s">
        <v>1558</v>
      </c>
      <c r="C536" s="2" t="s">
        <v>1559</v>
      </c>
      <c r="D536" s="2" t="s">
        <v>10</v>
      </c>
      <c r="E536" s="2" t="s">
        <v>1375</v>
      </c>
      <c r="F536" s="2" t="s">
        <v>1560</v>
      </c>
      <c r="G536" s="2" t="s">
        <v>13</v>
      </c>
      <c r="H536" s="2" t="s">
        <v>417</v>
      </c>
    </row>
    <row r="537" customFormat="false" ht="32.8" hidden="false" customHeight="false" outlineLevel="0" collapsed="false">
      <c r="A537" s="2" t="n">
        <v>536</v>
      </c>
      <c r="B537" s="3" t="s">
        <v>1561</v>
      </c>
      <c r="C537" s="2" t="s">
        <v>1562</v>
      </c>
      <c r="D537" s="2" t="s">
        <v>720</v>
      </c>
      <c r="E537" s="2" t="s">
        <v>1563</v>
      </c>
      <c r="F537" s="4" t="s">
        <v>1564</v>
      </c>
      <c r="G537" s="2" t="s">
        <v>13</v>
      </c>
      <c r="H537" s="2" t="s">
        <v>417</v>
      </c>
    </row>
    <row r="538" customFormat="false" ht="22.35" hidden="false" customHeight="false" outlineLevel="0" collapsed="false">
      <c r="A538" s="2" t="n">
        <v>537</v>
      </c>
      <c r="B538" s="5" t="s">
        <v>1565</v>
      </c>
      <c r="C538" s="2" t="s">
        <v>1566</v>
      </c>
      <c r="D538" s="2" t="s">
        <v>720</v>
      </c>
      <c r="E538" s="2" t="s">
        <v>1567</v>
      </c>
      <c r="F538" s="2" t="s">
        <v>78</v>
      </c>
      <c r="G538" s="2" t="s">
        <v>13</v>
      </c>
      <c r="H538" s="2" t="s">
        <v>417</v>
      </c>
    </row>
    <row r="539" customFormat="false" ht="22.35" hidden="false" customHeight="false" outlineLevel="0" collapsed="false">
      <c r="A539" s="2" t="n">
        <v>538</v>
      </c>
      <c r="B539" s="3" t="s">
        <v>1568</v>
      </c>
      <c r="C539" s="2" t="s">
        <v>1569</v>
      </c>
      <c r="D539" s="2" t="s">
        <v>10</v>
      </c>
      <c r="E539" s="2" t="s">
        <v>1570</v>
      </c>
      <c r="F539" s="4" t="s">
        <v>1571</v>
      </c>
      <c r="G539" s="2" t="s">
        <v>13</v>
      </c>
      <c r="H539" s="2" t="s">
        <v>417</v>
      </c>
    </row>
    <row r="540" customFormat="false" ht="15" hidden="false" customHeight="false" outlineLevel="0" collapsed="false">
      <c r="A540" s="2" t="n">
        <v>539</v>
      </c>
      <c r="B540" s="3" t="s">
        <v>1572</v>
      </c>
      <c r="C540" s="2" t="s">
        <v>1573</v>
      </c>
      <c r="D540" s="2" t="s">
        <v>720</v>
      </c>
      <c r="E540" s="2" t="s">
        <v>1574</v>
      </c>
      <c r="F540" s="4" t="s">
        <v>1575</v>
      </c>
      <c r="G540" s="2" t="s">
        <v>13</v>
      </c>
      <c r="H540" s="2" t="s">
        <v>417</v>
      </c>
    </row>
    <row r="541" customFormat="false" ht="22.35" hidden="false" customHeight="false" outlineLevel="0" collapsed="false">
      <c r="A541" s="2" t="n">
        <v>540</v>
      </c>
      <c r="B541" s="3" t="s">
        <v>1576</v>
      </c>
      <c r="C541" s="2" t="s">
        <v>1577</v>
      </c>
      <c r="D541" s="2" t="s">
        <v>720</v>
      </c>
      <c r="E541" s="2" t="s">
        <v>1574</v>
      </c>
      <c r="F541" s="4" t="s">
        <v>1578</v>
      </c>
      <c r="G541" s="2" t="s">
        <v>13</v>
      </c>
      <c r="H541" s="2" t="s">
        <v>14</v>
      </c>
    </row>
    <row r="542" customFormat="false" ht="22.35" hidden="false" customHeight="false" outlineLevel="0" collapsed="false">
      <c r="A542" s="2" t="n">
        <v>541</v>
      </c>
      <c r="B542" s="3" t="s">
        <v>1579</v>
      </c>
      <c r="C542" s="2" t="s">
        <v>1580</v>
      </c>
      <c r="D542" s="2" t="s">
        <v>720</v>
      </c>
      <c r="E542" s="2" t="s">
        <v>1267</v>
      </c>
      <c r="F542" s="4" t="s">
        <v>1581</v>
      </c>
      <c r="G542" s="2" t="s">
        <v>13</v>
      </c>
      <c r="H542" s="2" t="s">
        <v>417</v>
      </c>
    </row>
    <row r="543" customFormat="false" ht="22.35" hidden="false" customHeight="false" outlineLevel="0" collapsed="false">
      <c r="A543" s="2" t="n">
        <v>542</v>
      </c>
      <c r="B543" s="3" t="s">
        <v>1582</v>
      </c>
      <c r="C543" s="2" t="s">
        <v>1583</v>
      </c>
      <c r="D543" s="2" t="s">
        <v>10</v>
      </c>
      <c r="E543" s="2" t="s">
        <v>1584</v>
      </c>
      <c r="F543" s="4" t="s">
        <v>1585</v>
      </c>
      <c r="G543" s="2" t="s">
        <v>13</v>
      </c>
      <c r="H543" s="2" t="s">
        <v>14</v>
      </c>
    </row>
    <row r="544" customFormat="false" ht="22.35" hidden="false" customHeight="false" outlineLevel="0" collapsed="false">
      <c r="A544" s="2" t="n">
        <v>543</v>
      </c>
      <c r="B544" s="3" t="s">
        <v>1586</v>
      </c>
      <c r="C544" s="2" t="s">
        <v>1587</v>
      </c>
      <c r="D544" s="2" t="s">
        <v>10</v>
      </c>
      <c r="E544" s="2" t="s">
        <v>840</v>
      </c>
      <c r="F544" s="4" t="s">
        <v>1099</v>
      </c>
      <c r="G544" s="2" t="s">
        <v>13</v>
      </c>
      <c r="H544" s="2" t="s">
        <v>14</v>
      </c>
    </row>
    <row r="545" customFormat="false" ht="22.35" hidden="false" customHeight="false" outlineLevel="0" collapsed="false">
      <c r="A545" s="2" t="n">
        <v>544</v>
      </c>
      <c r="B545" s="5" t="s">
        <v>1588</v>
      </c>
      <c r="C545" s="2" t="s">
        <v>1589</v>
      </c>
      <c r="D545" s="2" t="s">
        <v>10</v>
      </c>
      <c r="E545" s="2" t="s">
        <v>1590</v>
      </c>
      <c r="F545" s="2" t="s">
        <v>1591</v>
      </c>
      <c r="G545" s="2" t="s">
        <v>13</v>
      </c>
      <c r="H545" s="2" t="s">
        <v>417</v>
      </c>
    </row>
    <row r="546" customFormat="false" ht="22.35" hidden="false" customHeight="false" outlineLevel="0" collapsed="false">
      <c r="A546" s="2" t="n">
        <v>545</v>
      </c>
      <c r="B546" s="5" t="s">
        <v>1592</v>
      </c>
      <c r="C546" s="2" t="s">
        <v>1593</v>
      </c>
      <c r="D546" s="2" t="s">
        <v>10</v>
      </c>
      <c r="E546" s="2" t="s">
        <v>218</v>
      </c>
      <c r="F546" s="2" t="s">
        <v>780</v>
      </c>
      <c r="G546" s="2" t="s">
        <v>13</v>
      </c>
      <c r="H546" s="2" t="s">
        <v>417</v>
      </c>
    </row>
    <row r="547" customFormat="false" ht="22.35" hidden="false" customHeight="false" outlineLevel="0" collapsed="false">
      <c r="A547" s="2" t="n">
        <v>546</v>
      </c>
      <c r="B547" s="5" t="s">
        <v>1594</v>
      </c>
      <c r="C547" s="2" t="s">
        <v>1595</v>
      </c>
      <c r="D547" s="2" t="s">
        <v>153</v>
      </c>
      <c r="E547" s="2" t="s">
        <v>218</v>
      </c>
      <c r="F547" s="2" t="s">
        <v>1596</v>
      </c>
      <c r="G547" s="2" t="s">
        <v>13</v>
      </c>
      <c r="H547" s="2" t="s">
        <v>417</v>
      </c>
    </row>
    <row r="548" customFormat="false" ht="22.35" hidden="false" customHeight="false" outlineLevel="0" collapsed="false">
      <c r="A548" s="2" t="n">
        <v>547</v>
      </c>
      <c r="B548" s="5" t="s">
        <v>1597</v>
      </c>
      <c r="C548" s="2" t="s">
        <v>1598</v>
      </c>
      <c r="D548" s="2" t="s">
        <v>10</v>
      </c>
      <c r="E548" s="2" t="s">
        <v>1517</v>
      </c>
      <c r="F548" s="2" t="s">
        <v>588</v>
      </c>
      <c r="G548" s="2" t="s">
        <v>13</v>
      </c>
      <c r="H548" s="2" t="s">
        <v>14</v>
      </c>
    </row>
    <row r="549" customFormat="false" ht="15" hidden="false" customHeight="false" outlineLevel="0" collapsed="false">
      <c r="A549" s="2" t="n">
        <v>548</v>
      </c>
      <c r="B549" s="5" t="s">
        <v>1599</v>
      </c>
      <c r="C549" s="2" t="s">
        <v>1600</v>
      </c>
      <c r="D549" s="2" t="s">
        <v>10</v>
      </c>
      <c r="E549" s="2" t="s">
        <v>1601</v>
      </c>
      <c r="F549" s="2" t="s">
        <v>1602</v>
      </c>
      <c r="G549" s="2" t="s">
        <v>13</v>
      </c>
      <c r="H549" s="2" t="s">
        <v>14</v>
      </c>
    </row>
    <row r="550" customFormat="false" ht="22.35" hidden="false" customHeight="false" outlineLevel="0" collapsed="false">
      <c r="A550" s="2" t="n">
        <v>549</v>
      </c>
      <c r="B550" s="5" t="s">
        <v>1603</v>
      </c>
      <c r="C550" s="2" t="s">
        <v>1604</v>
      </c>
      <c r="D550" s="2" t="s">
        <v>10</v>
      </c>
      <c r="E550" s="2" t="s">
        <v>1156</v>
      </c>
      <c r="F550" s="2" t="s">
        <v>1605</v>
      </c>
      <c r="G550" s="2" t="s">
        <v>13</v>
      </c>
      <c r="H550" s="2" t="s">
        <v>417</v>
      </c>
    </row>
    <row r="551" customFormat="false" ht="22.35" hidden="false" customHeight="false" outlineLevel="0" collapsed="false">
      <c r="A551" s="2" t="n">
        <v>550</v>
      </c>
      <c r="B551" s="5" t="s">
        <v>1606</v>
      </c>
      <c r="C551" s="2" t="s">
        <v>1607</v>
      </c>
      <c r="D551" s="2" t="s">
        <v>10</v>
      </c>
      <c r="E551" s="2" t="s">
        <v>1608</v>
      </c>
      <c r="F551" s="2" t="s">
        <v>1609</v>
      </c>
      <c r="G551" s="2" t="s">
        <v>13</v>
      </c>
      <c r="H551" s="2" t="s">
        <v>14</v>
      </c>
    </row>
    <row r="552" customFormat="false" ht="22.35" hidden="false" customHeight="false" outlineLevel="0" collapsed="false">
      <c r="A552" s="2" t="n">
        <v>551</v>
      </c>
      <c r="B552" s="3" t="s">
        <v>1610</v>
      </c>
      <c r="C552" s="2" t="s">
        <v>1611</v>
      </c>
      <c r="D552" s="2" t="s">
        <v>10</v>
      </c>
      <c r="E552" s="2" t="s">
        <v>1612</v>
      </c>
      <c r="F552" s="4" t="s">
        <v>1613</v>
      </c>
      <c r="G552" s="2" t="s">
        <v>28</v>
      </c>
      <c r="H552" s="2" t="s">
        <v>14</v>
      </c>
    </row>
    <row r="553" customFormat="false" ht="22.35" hidden="false" customHeight="false" outlineLevel="0" collapsed="false">
      <c r="A553" s="2" t="n">
        <v>552</v>
      </c>
      <c r="B553" s="5" t="s">
        <v>1614</v>
      </c>
      <c r="C553" s="2" t="s">
        <v>1615</v>
      </c>
      <c r="D553" s="2" t="s">
        <v>10</v>
      </c>
      <c r="E553" s="2" t="s">
        <v>1616</v>
      </c>
      <c r="F553" s="2" t="s">
        <v>1617</v>
      </c>
      <c r="G553" s="2" t="s">
        <v>28</v>
      </c>
      <c r="H553" s="2" t="s">
        <v>14</v>
      </c>
    </row>
    <row r="554" customFormat="false" ht="22.35" hidden="false" customHeight="false" outlineLevel="0" collapsed="false">
      <c r="A554" s="2" t="n">
        <v>553</v>
      </c>
      <c r="B554" s="5" t="s">
        <v>1618</v>
      </c>
      <c r="C554" s="2" t="s">
        <v>1619</v>
      </c>
      <c r="D554" s="2" t="s">
        <v>10</v>
      </c>
      <c r="E554" s="2" t="s">
        <v>971</v>
      </c>
      <c r="F554" s="2" t="s">
        <v>1620</v>
      </c>
      <c r="G554" s="2" t="s">
        <v>28</v>
      </c>
      <c r="H554" s="2" t="s">
        <v>14</v>
      </c>
    </row>
    <row r="555" customFormat="false" ht="22.35" hidden="false" customHeight="false" outlineLevel="0" collapsed="false">
      <c r="A555" s="2" t="n">
        <v>554</v>
      </c>
      <c r="B555" s="5" t="s">
        <v>1621</v>
      </c>
      <c r="C555" s="2" t="s">
        <v>1622</v>
      </c>
      <c r="D555" s="2" t="s">
        <v>10</v>
      </c>
      <c r="E555" s="2" t="s">
        <v>1623</v>
      </c>
      <c r="F555" s="2" t="s">
        <v>188</v>
      </c>
      <c r="G555" s="2" t="s">
        <v>13</v>
      </c>
      <c r="H555" s="2" t="s">
        <v>14</v>
      </c>
    </row>
    <row r="556" customFormat="false" ht="22.35" hidden="false" customHeight="false" outlineLevel="0" collapsed="false">
      <c r="A556" s="2" t="n">
        <v>555</v>
      </c>
      <c r="B556" s="5" t="s">
        <v>1624</v>
      </c>
      <c r="C556" s="2" t="s">
        <v>1625</v>
      </c>
      <c r="D556" s="2" t="s">
        <v>10</v>
      </c>
      <c r="E556" s="2" t="s">
        <v>880</v>
      </c>
      <c r="F556" s="2" t="s">
        <v>1626</v>
      </c>
      <c r="G556" s="2" t="s">
        <v>13</v>
      </c>
      <c r="H556" s="2" t="s">
        <v>417</v>
      </c>
    </row>
    <row r="557" customFormat="false" ht="22.35" hidden="false" customHeight="false" outlineLevel="0" collapsed="false">
      <c r="A557" s="2" t="n">
        <v>556</v>
      </c>
      <c r="B557" s="5" t="s">
        <v>1627</v>
      </c>
      <c r="C557" s="2" t="s">
        <v>1628</v>
      </c>
      <c r="D557" s="2" t="s">
        <v>10</v>
      </c>
      <c r="E557" s="2" t="s">
        <v>1629</v>
      </c>
      <c r="F557" s="2" t="s">
        <v>1630</v>
      </c>
      <c r="G557" s="2" t="s">
        <v>28</v>
      </c>
      <c r="H557" s="2" t="s">
        <v>14</v>
      </c>
    </row>
    <row r="558" customFormat="false" ht="22.35" hidden="false" customHeight="false" outlineLevel="0" collapsed="false">
      <c r="A558" s="2" t="n">
        <v>557</v>
      </c>
      <c r="B558" s="5" t="s">
        <v>1631</v>
      </c>
      <c r="C558" s="2" t="s">
        <v>1632</v>
      </c>
      <c r="D558" s="2" t="s">
        <v>10</v>
      </c>
      <c r="E558" s="2" t="s">
        <v>1633</v>
      </c>
      <c r="F558" s="2" t="s">
        <v>1634</v>
      </c>
      <c r="G558" s="2" t="s">
        <v>28</v>
      </c>
      <c r="H558" s="2" t="s">
        <v>417</v>
      </c>
    </row>
    <row r="559" customFormat="false" ht="15" hidden="false" customHeight="false" outlineLevel="0" collapsed="false">
      <c r="A559" s="2" t="n">
        <v>558</v>
      </c>
      <c r="B559" s="5" t="s">
        <v>1635</v>
      </c>
      <c r="C559" s="2" t="s">
        <v>1636</v>
      </c>
      <c r="D559" s="2" t="s">
        <v>10</v>
      </c>
      <c r="E559" s="2" t="s">
        <v>818</v>
      </c>
      <c r="F559" s="2" t="s">
        <v>81</v>
      </c>
      <c r="G559" s="2" t="s">
        <v>28</v>
      </c>
      <c r="H559" s="2" t="s">
        <v>417</v>
      </c>
    </row>
    <row r="560" customFormat="false" ht="22.35" hidden="false" customHeight="false" outlineLevel="0" collapsed="false">
      <c r="A560" s="2" t="n">
        <v>559</v>
      </c>
      <c r="B560" s="5" t="s">
        <v>1637</v>
      </c>
      <c r="C560" s="2" t="s">
        <v>1638</v>
      </c>
      <c r="D560" s="2" t="s">
        <v>10</v>
      </c>
      <c r="E560" s="2" t="s">
        <v>1639</v>
      </c>
      <c r="F560" s="2" t="s">
        <v>209</v>
      </c>
      <c r="G560" s="2" t="s">
        <v>28</v>
      </c>
      <c r="H560" s="2" t="s">
        <v>14</v>
      </c>
    </row>
    <row r="561" customFormat="false" ht="22.35" hidden="false" customHeight="false" outlineLevel="0" collapsed="false">
      <c r="A561" s="2" t="n">
        <v>560</v>
      </c>
      <c r="B561" s="5" t="s">
        <v>1640</v>
      </c>
      <c r="C561" s="2" t="s">
        <v>1641</v>
      </c>
      <c r="D561" s="2" t="s">
        <v>10</v>
      </c>
      <c r="E561" s="2" t="s">
        <v>1642</v>
      </c>
      <c r="F561" s="2" t="s">
        <v>1643</v>
      </c>
      <c r="G561" s="2" t="s">
        <v>13</v>
      </c>
      <c r="H561" s="2" t="s">
        <v>14</v>
      </c>
    </row>
    <row r="562" customFormat="false" ht="22.35" hidden="false" customHeight="false" outlineLevel="0" collapsed="false">
      <c r="A562" s="2" t="n">
        <v>561</v>
      </c>
      <c r="B562" s="5" t="s">
        <v>1644</v>
      </c>
      <c r="C562" s="2" t="s">
        <v>1645</v>
      </c>
      <c r="D562" s="2" t="s">
        <v>10</v>
      </c>
      <c r="E562" s="2" t="s">
        <v>1249</v>
      </c>
      <c r="F562" s="2" t="s">
        <v>726</v>
      </c>
      <c r="G562" s="2" t="s">
        <v>28</v>
      </c>
      <c r="H562" s="2" t="s">
        <v>14</v>
      </c>
    </row>
    <row r="563" customFormat="false" ht="22.35" hidden="false" customHeight="false" outlineLevel="0" collapsed="false">
      <c r="A563" s="2" t="n">
        <v>562</v>
      </c>
      <c r="B563" s="5" t="s">
        <v>1646</v>
      </c>
      <c r="C563" s="2" t="s">
        <v>1647</v>
      </c>
      <c r="D563" s="2" t="s">
        <v>10</v>
      </c>
      <c r="E563" s="2" t="s">
        <v>1229</v>
      </c>
      <c r="F563" s="2" t="s">
        <v>943</v>
      </c>
      <c r="G563" s="2" t="s">
        <v>28</v>
      </c>
      <c r="H563" s="2" t="s">
        <v>417</v>
      </c>
    </row>
    <row r="564" customFormat="false" ht="22.35" hidden="false" customHeight="false" outlineLevel="0" collapsed="false">
      <c r="A564" s="2" t="n">
        <v>563</v>
      </c>
      <c r="B564" s="5" t="s">
        <v>1648</v>
      </c>
      <c r="C564" s="2" t="s">
        <v>1649</v>
      </c>
      <c r="D564" s="2" t="s">
        <v>10</v>
      </c>
      <c r="E564" s="2" t="s">
        <v>1249</v>
      </c>
      <c r="F564" s="2" t="s">
        <v>1506</v>
      </c>
      <c r="G564" s="2" t="s">
        <v>28</v>
      </c>
      <c r="H564" s="2" t="s">
        <v>14</v>
      </c>
    </row>
    <row r="565" customFormat="false" ht="22.35" hidden="false" customHeight="false" outlineLevel="0" collapsed="false">
      <c r="A565" s="2" t="n">
        <v>564</v>
      </c>
      <c r="B565" s="5" t="s">
        <v>1650</v>
      </c>
      <c r="C565" s="2" t="s">
        <v>1651</v>
      </c>
      <c r="D565" s="2" t="s">
        <v>10</v>
      </c>
      <c r="E565" s="2" t="s">
        <v>1249</v>
      </c>
      <c r="F565" s="2" t="s">
        <v>1652</v>
      </c>
      <c r="G565" s="2" t="s">
        <v>28</v>
      </c>
      <c r="H565" s="2" t="s">
        <v>417</v>
      </c>
    </row>
    <row r="566" customFormat="false" ht="22.35" hidden="false" customHeight="false" outlineLevel="0" collapsed="false">
      <c r="A566" s="2" t="n">
        <v>565</v>
      </c>
      <c r="B566" s="5" t="s">
        <v>1653</v>
      </c>
      <c r="C566" s="2" t="s">
        <v>1654</v>
      </c>
      <c r="D566" s="2" t="s">
        <v>10</v>
      </c>
      <c r="E566" s="2" t="s">
        <v>1655</v>
      </c>
      <c r="F566" s="2" t="s">
        <v>1656</v>
      </c>
      <c r="G566" s="2" t="s">
        <v>28</v>
      </c>
      <c r="H566" s="2" t="s">
        <v>417</v>
      </c>
    </row>
    <row r="567" customFormat="false" ht="22.35" hidden="false" customHeight="false" outlineLevel="0" collapsed="false">
      <c r="A567" s="2" t="n">
        <v>566</v>
      </c>
      <c r="B567" s="3" t="s">
        <v>1657</v>
      </c>
      <c r="C567" s="2" t="s">
        <v>1658</v>
      </c>
      <c r="D567" s="2" t="s">
        <v>720</v>
      </c>
      <c r="E567" s="2" t="s">
        <v>218</v>
      </c>
      <c r="F567" s="4" t="s">
        <v>1659</v>
      </c>
      <c r="G567" s="2" t="s">
        <v>13</v>
      </c>
      <c r="H567" s="2" t="s">
        <v>417</v>
      </c>
    </row>
    <row r="568" customFormat="false" ht="22.35" hidden="false" customHeight="false" outlineLevel="0" collapsed="false">
      <c r="A568" s="2" t="n">
        <v>567</v>
      </c>
      <c r="B568" s="5" t="s">
        <v>1660</v>
      </c>
      <c r="C568" s="2" t="s">
        <v>1661</v>
      </c>
      <c r="D568" s="2" t="s">
        <v>720</v>
      </c>
      <c r="E568" s="2" t="s">
        <v>1662</v>
      </c>
      <c r="F568" s="2" t="s">
        <v>1663</v>
      </c>
      <c r="G568" s="2" t="s">
        <v>13</v>
      </c>
      <c r="H568" s="2" t="s">
        <v>417</v>
      </c>
    </row>
    <row r="569" customFormat="false" ht="22.35" hidden="false" customHeight="false" outlineLevel="0" collapsed="false">
      <c r="A569" s="2" t="n">
        <v>568</v>
      </c>
      <c r="B569" s="3" t="s">
        <v>1664</v>
      </c>
      <c r="C569" s="2" t="s">
        <v>1665</v>
      </c>
      <c r="D569" s="2" t="s">
        <v>10</v>
      </c>
      <c r="E569" s="2" t="s">
        <v>1666</v>
      </c>
      <c r="F569" s="4" t="s">
        <v>1667</v>
      </c>
      <c r="G569" s="2" t="s">
        <v>13</v>
      </c>
      <c r="H569" s="2" t="s">
        <v>14</v>
      </c>
    </row>
    <row r="570" customFormat="false" ht="22.35" hidden="false" customHeight="false" outlineLevel="0" collapsed="false">
      <c r="A570" s="2" t="n">
        <v>569</v>
      </c>
      <c r="B570" s="5" t="s">
        <v>1668</v>
      </c>
      <c r="C570" s="2" t="s">
        <v>1669</v>
      </c>
      <c r="D570" s="2" t="s">
        <v>10</v>
      </c>
      <c r="E570" s="2" t="s">
        <v>1670</v>
      </c>
      <c r="F570" s="2" t="s">
        <v>1671</v>
      </c>
      <c r="G570" s="2" t="s">
        <v>13</v>
      </c>
      <c r="H570" s="2" t="s">
        <v>417</v>
      </c>
    </row>
    <row r="571" customFormat="false" ht="22.35" hidden="false" customHeight="false" outlineLevel="0" collapsed="false">
      <c r="A571" s="2" t="n">
        <v>570</v>
      </c>
      <c r="B571" s="5" t="s">
        <v>1672</v>
      </c>
      <c r="C571" s="2" t="s">
        <v>1673</v>
      </c>
      <c r="D571" s="2" t="s">
        <v>10</v>
      </c>
      <c r="E571" s="2" t="s">
        <v>1156</v>
      </c>
      <c r="F571" s="2" t="s">
        <v>1674</v>
      </c>
      <c r="G571" s="2" t="s">
        <v>13</v>
      </c>
      <c r="H571" s="2" t="s">
        <v>417</v>
      </c>
    </row>
    <row r="572" customFormat="false" ht="32.8" hidden="false" customHeight="false" outlineLevel="0" collapsed="false">
      <c r="A572" s="2" t="n">
        <v>571</v>
      </c>
      <c r="B572" s="3" t="s">
        <v>1675</v>
      </c>
      <c r="C572" s="2" t="s">
        <v>1676</v>
      </c>
      <c r="D572" s="2" t="s">
        <v>10</v>
      </c>
      <c r="E572" s="2" t="s">
        <v>1156</v>
      </c>
      <c r="F572" s="4" t="s">
        <v>1677</v>
      </c>
      <c r="G572" s="2" t="s">
        <v>13</v>
      </c>
      <c r="H572" s="2" t="s">
        <v>417</v>
      </c>
    </row>
    <row r="573" customFormat="false" ht="22.35" hidden="false" customHeight="false" outlineLevel="0" collapsed="false">
      <c r="A573" s="2" t="n">
        <v>572</v>
      </c>
      <c r="B573" s="5" t="s">
        <v>1678</v>
      </c>
      <c r="C573" s="2" t="s">
        <v>1679</v>
      </c>
      <c r="D573" s="2" t="s">
        <v>10</v>
      </c>
      <c r="E573" s="2" t="s">
        <v>1156</v>
      </c>
      <c r="F573" s="2" t="s">
        <v>1680</v>
      </c>
      <c r="G573" s="2" t="s">
        <v>13</v>
      </c>
      <c r="H573" s="2" t="s">
        <v>14</v>
      </c>
    </row>
    <row r="574" customFormat="false" ht="22.35" hidden="false" customHeight="false" outlineLevel="0" collapsed="false">
      <c r="A574" s="2" t="n">
        <v>573</v>
      </c>
      <c r="B574" s="5" t="s">
        <v>1681</v>
      </c>
      <c r="C574" s="2" t="s">
        <v>1682</v>
      </c>
      <c r="D574" s="2" t="s">
        <v>10</v>
      </c>
      <c r="E574" s="2" t="s">
        <v>1683</v>
      </c>
      <c r="F574" s="2" t="s">
        <v>1684</v>
      </c>
      <c r="G574" s="2" t="s">
        <v>13</v>
      </c>
      <c r="H574" s="2" t="s">
        <v>417</v>
      </c>
    </row>
    <row r="575" customFormat="false" ht="22.35" hidden="false" customHeight="false" outlineLevel="0" collapsed="false">
      <c r="A575" s="2" t="n">
        <v>574</v>
      </c>
      <c r="B575" s="3" t="s">
        <v>1685</v>
      </c>
      <c r="C575" s="2" t="s">
        <v>1686</v>
      </c>
      <c r="D575" s="2" t="s">
        <v>1687</v>
      </c>
      <c r="E575" s="2" t="s">
        <v>1688</v>
      </c>
      <c r="F575" s="4" t="s">
        <v>1689</v>
      </c>
      <c r="G575" s="2" t="s">
        <v>13</v>
      </c>
      <c r="H575" s="2" t="s">
        <v>14</v>
      </c>
    </row>
    <row r="576" customFormat="false" ht="22.35" hidden="false" customHeight="false" outlineLevel="0" collapsed="false">
      <c r="A576" s="2" t="n">
        <v>575</v>
      </c>
      <c r="B576" s="5" t="s">
        <v>1690</v>
      </c>
      <c r="C576" s="2" t="s">
        <v>1691</v>
      </c>
      <c r="D576" s="2" t="s">
        <v>10</v>
      </c>
      <c r="E576" s="2" t="s">
        <v>218</v>
      </c>
      <c r="F576" s="2" t="s">
        <v>1692</v>
      </c>
      <c r="G576" s="2" t="s">
        <v>13</v>
      </c>
      <c r="H576" s="2" t="s">
        <v>417</v>
      </c>
    </row>
    <row r="577" customFormat="false" ht="22.35" hidden="false" customHeight="false" outlineLevel="0" collapsed="false">
      <c r="A577" s="2" t="n">
        <v>576</v>
      </c>
      <c r="B577" s="5" t="s">
        <v>1693</v>
      </c>
      <c r="C577" s="2" t="s">
        <v>1694</v>
      </c>
      <c r="D577" s="2" t="s">
        <v>10</v>
      </c>
      <c r="E577" s="2" t="s">
        <v>880</v>
      </c>
      <c r="F577" s="2" t="s">
        <v>1695</v>
      </c>
      <c r="G577" s="2" t="s">
        <v>13</v>
      </c>
      <c r="H577" s="2" t="s">
        <v>417</v>
      </c>
    </row>
    <row r="578" customFormat="false" ht="32.8" hidden="false" customHeight="false" outlineLevel="0" collapsed="false">
      <c r="A578" s="2" t="n">
        <v>577</v>
      </c>
      <c r="B578" s="5" t="s">
        <v>1696</v>
      </c>
      <c r="C578" s="2" t="s">
        <v>1697</v>
      </c>
      <c r="D578" s="2" t="s">
        <v>10</v>
      </c>
      <c r="E578" s="2" t="s">
        <v>1156</v>
      </c>
      <c r="F578" s="2" t="s">
        <v>1698</v>
      </c>
      <c r="G578" s="2" t="s">
        <v>13</v>
      </c>
      <c r="H578" s="2" t="s">
        <v>417</v>
      </c>
    </row>
    <row r="579" customFormat="false" ht="22.35" hidden="false" customHeight="false" outlineLevel="0" collapsed="false">
      <c r="A579" s="2" t="n">
        <v>578</v>
      </c>
      <c r="B579" s="3" t="s">
        <v>1699</v>
      </c>
      <c r="C579" s="2" t="s">
        <v>1700</v>
      </c>
      <c r="D579" s="2" t="s">
        <v>10</v>
      </c>
      <c r="E579" s="2" t="s">
        <v>1156</v>
      </c>
      <c r="F579" s="4" t="s">
        <v>1701</v>
      </c>
      <c r="G579" s="2" t="s">
        <v>13</v>
      </c>
      <c r="H579" s="2" t="s">
        <v>417</v>
      </c>
    </row>
    <row r="580" customFormat="false" ht="22.35" hidden="false" customHeight="false" outlineLevel="0" collapsed="false">
      <c r="A580" s="2" t="n">
        <v>579</v>
      </c>
      <c r="B580" s="3" t="s">
        <v>1702</v>
      </c>
      <c r="C580" s="2" t="s">
        <v>1703</v>
      </c>
      <c r="D580" s="2" t="s">
        <v>10</v>
      </c>
      <c r="E580" s="2" t="s">
        <v>1156</v>
      </c>
      <c r="F580" s="4" t="s">
        <v>1704</v>
      </c>
      <c r="G580" s="2" t="s">
        <v>13</v>
      </c>
      <c r="H580" s="2" t="s">
        <v>14</v>
      </c>
    </row>
    <row r="581" customFormat="false" ht="22.35" hidden="false" customHeight="false" outlineLevel="0" collapsed="false">
      <c r="A581" s="2" t="n">
        <v>580</v>
      </c>
      <c r="B581" s="3" t="s">
        <v>1705</v>
      </c>
      <c r="C581" s="2" t="s">
        <v>1706</v>
      </c>
      <c r="D581" s="2" t="s">
        <v>720</v>
      </c>
      <c r="E581" s="2" t="s">
        <v>218</v>
      </c>
      <c r="F581" s="4" t="s">
        <v>1707</v>
      </c>
      <c r="G581" s="2" t="s">
        <v>13</v>
      </c>
      <c r="H581" s="2" t="s">
        <v>417</v>
      </c>
    </row>
    <row r="582" customFormat="false" ht="22.35" hidden="false" customHeight="false" outlineLevel="0" collapsed="false">
      <c r="A582" s="2" t="n">
        <v>581</v>
      </c>
      <c r="B582" s="5" t="s">
        <v>1708</v>
      </c>
      <c r="C582" s="2" t="s">
        <v>1709</v>
      </c>
      <c r="D582" s="2" t="s">
        <v>10</v>
      </c>
      <c r="E582" s="2" t="s">
        <v>1710</v>
      </c>
      <c r="F582" s="2" t="s">
        <v>1711</v>
      </c>
      <c r="G582" s="2" t="s">
        <v>13</v>
      </c>
      <c r="H582" s="2" t="s">
        <v>417</v>
      </c>
    </row>
    <row r="583" customFormat="false" ht="22.35" hidden="false" customHeight="false" outlineLevel="0" collapsed="false">
      <c r="A583" s="2" t="n">
        <v>582</v>
      </c>
      <c r="B583" s="5" t="s">
        <v>1712</v>
      </c>
      <c r="C583" s="2" t="s">
        <v>1713</v>
      </c>
      <c r="D583" s="2" t="s">
        <v>10</v>
      </c>
      <c r="E583" s="2" t="s">
        <v>45</v>
      </c>
      <c r="F583" s="2" t="s">
        <v>1714</v>
      </c>
      <c r="G583" s="2" t="s">
        <v>13</v>
      </c>
      <c r="H583" s="2" t="s">
        <v>14</v>
      </c>
    </row>
    <row r="584" customFormat="false" ht="22.35" hidden="false" customHeight="false" outlineLevel="0" collapsed="false">
      <c r="A584" s="2" t="n">
        <v>583</v>
      </c>
      <c r="B584" s="5" t="s">
        <v>1715</v>
      </c>
      <c r="C584" s="2" t="s">
        <v>1716</v>
      </c>
      <c r="D584" s="2" t="s">
        <v>10</v>
      </c>
      <c r="E584" s="2" t="s">
        <v>1375</v>
      </c>
      <c r="F584" s="2" t="s">
        <v>1717</v>
      </c>
      <c r="G584" s="2" t="s">
        <v>13</v>
      </c>
      <c r="H584" s="2" t="s">
        <v>417</v>
      </c>
    </row>
    <row r="585" customFormat="false" ht="22.35" hidden="false" customHeight="false" outlineLevel="0" collapsed="false">
      <c r="A585" s="2" t="n">
        <v>584</v>
      </c>
      <c r="B585" s="5" t="s">
        <v>1718</v>
      </c>
      <c r="C585" s="2" t="s">
        <v>1719</v>
      </c>
      <c r="D585" s="2" t="s">
        <v>10</v>
      </c>
      <c r="E585" s="2" t="s">
        <v>1720</v>
      </c>
      <c r="F585" s="2" t="s">
        <v>681</v>
      </c>
      <c r="G585" s="2" t="s">
        <v>13</v>
      </c>
      <c r="H585" s="2" t="s">
        <v>417</v>
      </c>
    </row>
    <row r="586" customFormat="false" ht="15" hidden="false" customHeight="false" outlineLevel="0" collapsed="false">
      <c r="A586" s="2" t="n">
        <v>585</v>
      </c>
      <c r="B586" s="5" t="s">
        <v>1721</v>
      </c>
      <c r="C586" s="2" t="s">
        <v>1722</v>
      </c>
      <c r="D586" s="2" t="s">
        <v>10</v>
      </c>
      <c r="E586" s="2" t="s">
        <v>880</v>
      </c>
      <c r="F586" s="2" t="s">
        <v>984</v>
      </c>
      <c r="G586" s="2" t="s">
        <v>13</v>
      </c>
      <c r="H586" s="2" t="s">
        <v>14</v>
      </c>
    </row>
    <row r="587" customFormat="false" ht="22.35" hidden="false" customHeight="false" outlineLevel="0" collapsed="false">
      <c r="A587" s="2" t="n">
        <v>586</v>
      </c>
      <c r="B587" s="5" t="s">
        <v>1723</v>
      </c>
      <c r="C587" s="2" t="s">
        <v>1724</v>
      </c>
      <c r="D587" s="2" t="s">
        <v>10</v>
      </c>
      <c r="E587" s="2" t="s">
        <v>1639</v>
      </c>
      <c r="F587" s="2" t="s">
        <v>1725</v>
      </c>
      <c r="G587" s="2" t="s">
        <v>28</v>
      </c>
      <c r="H587" s="2" t="s">
        <v>417</v>
      </c>
    </row>
    <row r="588" customFormat="false" ht="22.35" hidden="false" customHeight="false" outlineLevel="0" collapsed="false">
      <c r="A588" s="2" t="n">
        <v>587</v>
      </c>
      <c r="B588" s="5" t="s">
        <v>1726</v>
      </c>
      <c r="C588" s="2" t="s">
        <v>1727</v>
      </c>
      <c r="D588" s="2" t="s">
        <v>10</v>
      </c>
      <c r="E588" s="2" t="s">
        <v>1728</v>
      </c>
      <c r="F588" s="2" t="s">
        <v>1729</v>
      </c>
      <c r="G588" s="2" t="s">
        <v>13</v>
      </c>
      <c r="H588" s="2" t="s">
        <v>417</v>
      </c>
    </row>
    <row r="589" customFormat="false" ht="22.35" hidden="false" customHeight="false" outlineLevel="0" collapsed="false">
      <c r="A589" s="2" t="n">
        <v>588</v>
      </c>
      <c r="B589" s="5" t="s">
        <v>1730</v>
      </c>
      <c r="C589" s="2" t="s">
        <v>1731</v>
      </c>
      <c r="D589" s="2" t="s">
        <v>10</v>
      </c>
      <c r="E589" s="2" t="s">
        <v>880</v>
      </c>
      <c r="F589" s="2" t="s">
        <v>1557</v>
      </c>
      <c r="G589" s="2" t="s">
        <v>13</v>
      </c>
      <c r="H589" s="2" t="s">
        <v>14</v>
      </c>
    </row>
    <row r="590" customFormat="false" ht="22.35" hidden="false" customHeight="false" outlineLevel="0" collapsed="false">
      <c r="A590" s="2" t="n">
        <v>589</v>
      </c>
      <c r="B590" s="5" t="s">
        <v>1732</v>
      </c>
      <c r="C590" s="2" t="s">
        <v>1733</v>
      </c>
      <c r="D590" s="2" t="s">
        <v>10</v>
      </c>
      <c r="E590" s="2" t="s">
        <v>923</v>
      </c>
      <c r="F590" s="2" t="s">
        <v>1734</v>
      </c>
      <c r="G590" s="2" t="s">
        <v>13</v>
      </c>
      <c r="H590" s="2" t="s">
        <v>417</v>
      </c>
    </row>
    <row r="591" customFormat="false" ht="22.35" hidden="false" customHeight="false" outlineLevel="0" collapsed="false">
      <c r="A591" s="2" t="n">
        <v>590</v>
      </c>
      <c r="B591" s="5" t="s">
        <v>1735</v>
      </c>
      <c r="C591" s="2" t="s">
        <v>1736</v>
      </c>
      <c r="D591" s="2" t="s">
        <v>10</v>
      </c>
      <c r="E591" s="2" t="s">
        <v>218</v>
      </c>
      <c r="F591" s="2" t="s">
        <v>1737</v>
      </c>
      <c r="G591" s="2" t="s">
        <v>13</v>
      </c>
      <c r="H591" s="2" t="s">
        <v>14</v>
      </c>
    </row>
    <row r="592" customFormat="false" ht="15" hidden="false" customHeight="false" outlineLevel="0" collapsed="false">
      <c r="A592" s="2" t="n">
        <v>591</v>
      </c>
      <c r="B592" s="5" t="s">
        <v>1738</v>
      </c>
      <c r="C592" s="2" t="s">
        <v>1739</v>
      </c>
      <c r="D592" s="2" t="s">
        <v>10</v>
      </c>
      <c r="E592" s="2" t="s">
        <v>1740</v>
      </c>
      <c r="F592" s="2" t="s">
        <v>1741</v>
      </c>
      <c r="G592" s="2" t="s">
        <v>13</v>
      </c>
      <c r="H592" s="2" t="s">
        <v>14</v>
      </c>
    </row>
    <row r="593" customFormat="false" ht="15" hidden="false" customHeight="false" outlineLevel="0" collapsed="false">
      <c r="A593" s="2" t="n">
        <v>592</v>
      </c>
      <c r="B593" s="5" t="s">
        <v>1742</v>
      </c>
      <c r="C593" s="2" t="s">
        <v>1743</v>
      </c>
      <c r="D593" s="2" t="s">
        <v>10</v>
      </c>
      <c r="E593" s="2" t="s">
        <v>1740</v>
      </c>
      <c r="F593" s="2" t="s">
        <v>21</v>
      </c>
      <c r="G593" s="2" t="s">
        <v>13</v>
      </c>
      <c r="H593" s="2" t="s">
        <v>14</v>
      </c>
    </row>
    <row r="594" customFormat="false" ht="22.35" hidden="false" customHeight="false" outlineLevel="0" collapsed="false">
      <c r="A594" s="2" t="n">
        <v>593</v>
      </c>
      <c r="B594" s="5" t="s">
        <v>1744</v>
      </c>
      <c r="C594" s="2" t="s">
        <v>1745</v>
      </c>
      <c r="D594" s="2" t="s">
        <v>10</v>
      </c>
      <c r="E594" s="2" t="s">
        <v>218</v>
      </c>
      <c r="F594" s="2" t="s">
        <v>780</v>
      </c>
      <c r="G594" s="2" t="s">
        <v>28</v>
      </c>
      <c r="H594" s="2" t="s">
        <v>14</v>
      </c>
    </row>
    <row r="595" customFormat="false" ht="22.35" hidden="false" customHeight="false" outlineLevel="0" collapsed="false">
      <c r="A595" s="2" t="n">
        <v>594</v>
      </c>
      <c r="B595" s="5" t="s">
        <v>1746</v>
      </c>
      <c r="C595" s="2" t="s">
        <v>1747</v>
      </c>
      <c r="D595" s="2" t="s">
        <v>10</v>
      </c>
      <c r="E595" s="2" t="s">
        <v>1748</v>
      </c>
      <c r="F595" s="2" t="s">
        <v>186</v>
      </c>
      <c r="G595" s="2" t="s">
        <v>28</v>
      </c>
      <c r="H595" s="2" t="s">
        <v>14</v>
      </c>
    </row>
    <row r="596" customFormat="false" ht="22.35" hidden="false" customHeight="false" outlineLevel="0" collapsed="false">
      <c r="A596" s="2" t="n">
        <v>595</v>
      </c>
      <c r="B596" s="5" t="s">
        <v>1749</v>
      </c>
      <c r="C596" s="2" t="s">
        <v>1750</v>
      </c>
      <c r="D596" s="2" t="s">
        <v>10</v>
      </c>
      <c r="E596" s="2" t="s">
        <v>1751</v>
      </c>
      <c r="F596" s="2" t="s">
        <v>1752</v>
      </c>
      <c r="G596" s="2" t="s">
        <v>13</v>
      </c>
      <c r="H596" s="2" t="s">
        <v>417</v>
      </c>
    </row>
    <row r="597" customFormat="false" ht="15" hidden="false" customHeight="false" outlineLevel="0" collapsed="false">
      <c r="A597" s="2" t="n">
        <v>596</v>
      </c>
      <c r="B597" s="5" t="s">
        <v>1753</v>
      </c>
      <c r="C597" s="2" t="s">
        <v>1754</v>
      </c>
      <c r="D597" s="2" t="s">
        <v>10</v>
      </c>
      <c r="E597" s="2" t="s">
        <v>218</v>
      </c>
      <c r="F597" s="2" t="s">
        <v>1320</v>
      </c>
      <c r="G597" s="2" t="s">
        <v>28</v>
      </c>
      <c r="H597" s="2" t="s">
        <v>417</v>
      </c>
    </row>
    <row r="598" customFormat="false" ht="22.35" hidden="false" customHeight="false" outlineLevel="0" collapsed="false">
      <c r="A598" s="2" t="n">
        <v>597</v>
      </c>
      <c r="B598" s="5" t="s">
        <v>1755</v>
      </c>
      <c r="C598" s="2" t="s">
        <v>1756</v>
      </c>
      <c r="D598" s="2" t="s">
        <v>10</v>
      </c>
      <c r="E598" s="2" t="s">
        <v>218</v>
      </c>
      <c r="F598" s="2" t="s">
        <v>1757</v>
      </c>
      <c r="G598" s="2" t="s">
        <v>28</v>
      </c>
      <c r="H598" s="2" t="s">
        <v>14</v>
      </c>
    </row>
    <row r="599" customFormat="false" ht="22.35" hidden="false" customHeight="false" outlineLevel="0" collapsed="false">
      <c r="A599" s="2" t="n">
        <v>598</v>
      </c>
      <c r="B599" s="5" t="s">
        <v>1758</v>
      </c>
      <c r="C599" s="2" t="s">
        <v>1759</v>
      </c>
      <c r="D599" s="2" t="s">
        <v>10</v>
      </c>
      <c r="E599" s="2" t="s">
        <v>1760</v>
      </c>
      <c r="F599" s="2" t="s">
        <v>780</v>
      </c>
      <c r="G599" s="2" t="s">
        <v>13</v>
      </c>
      <c r="H599" s="2" t="s">
        <v>417</v>
      </c>
    </row>
    <row r="600" customFormat="false" ht="22.35" hidden="false" customHeight="false" outlineLevel="0" collapsed="false">
      <c r="A600" s="2" t="n">
        <v>599</v>
      </c>
      <c r="B600" s="5" t="s">
        <v>1761</v>
      </c>
      <c r="C600" s="2" t="s">
        <v>1762</v>
      </c>
      <c r="D600" s="2" t="s">
        <v>10</v>
      </c>
      <c r="E600" s="2" t="s">
        <v>1740</v>
      </c>
      <c r="F600" s="2" t="s">
        <v>722</v>
      </c>
      <c r="G600" s="2" t="s">
        <v>13</v>
      </c>
      <c r="H600" s="2" t="s">
        <v>14</v>
      </c>
    </row>
    <row r="601" customFormat="false" ht="32.8" hidden="false" customHeight="false" outlineLevel="0" collapsed="false">
      <c r="A601" s="2" t="n">
        <v>600</v>
      </c>
      <c r="B601" s="5" t="s">
        <v>1763</v>
      </c>
      <c r="C601" s="2" t="s">
        <v>1764</v>
      </c>
      <c r="D601" s="2" t="s">
        <v>10</v>
      </c>
      <c r="E601" s="2" t="s">
        <v>218</v>
      </c>
      <c r="F601" s="2" t="s">
        <v>1765</v>
      </c>
      <c r="G601" s="2" t="s">
        <v>13</v>
      </c>
      <c r="H601" s="2" t="s">
        <v>417</v>
      </c>
    </row>
    <row r="602" customFormat="false" ht="22.35" hidden="false" customHeight="false" outlineLevel="0" collapsed="false">
      <c r="A602" s="2" t="n">
        <v>601</v>
      </c>
      <c r="B602" s="5" t="s">
        <v>1766</v>
      </c>
      <c r="C602" s="2" t="s">
        <v>1767</v>
      </c>
      <c r="D602" s="2" t="s">
        <v>10</v>
      </c>
      <c r="E602" s="2" t="s">
        <v>818</v>
      </c>
      <c r="F602" s="2" t="s">
        <v>429</v>
      </c>
      <c r="G602" s="2" t="s">
        <v>28</v>
      </c>
      <c r="H602" s="2" t="s">
        <v>14</v>
      </c>
    </row>
    <row r="603" customFormat="false" ht="22.35" hidden="false" customHeight="false" outlineLevel="0" collapsed="false">
      <c r="A603" s="2" t="n">
        <v>602</v>
      </c>
      <c r="B603" s="5" t="s">
        <v>1768</v>
      </c>
      <c r="C603" s="2" t="s">
        <v>1769</v>
      </c>
      <c r="D603" s="2" t="s">
        <v>10</v>
      </c>
      <c r="E603" s="2" t="s">
        <v>1770</v>
      </c>
      <c r="F603" s="2" t="s">
        <v>1177</v>
      </c>
      <c r="G603" s="2" t="s">
        <v>13</v>
      </c>
      <c r="H603" s="2" t="s">
        <v>417</v>
      </c>
    </row>
    <row r="604" customFormat="false" ht="22.35" hidden="false" customHeight="false" outlineLevel="0" collapsed="false">
      <c r="A604" s="2" t="n">
        <v>603</v>
      </c>
      <c r="B604" s="5" t="s">
        <v>1771</v>
      </c>
      <c r="C604" s="2" t="s">
        <v>1772</v>
      </c>
      <c r="D604" s="2" t="s">
        <v>10</v>
      </c>
      <c r="E604" s="2" t="s">
        <v>1773</v>
      </c>
      <c r="F604" s="2" t="s">
        <v>371</v>
      </c>
      <c r="G604" s="2" t="s">
        <v>28</v>
      </c>
      <c r="H604" s="2" t="s">
        <v>417</v>
      </c>
    </row>
    <row r="605" customFormat="false" ht="22.35" hidden="false" customHeight="false" outlineLevel="0" collapsed="false">
      <c r="A605" s="2" t="n">
        <v>604</v>
      </c>
      <c r="B605" s="5" t="s">
        <v>1774</v>
      </c>
      <c r="C605" s="2" t="s">
        <v>1775</v>
      </c>
      <c r="D605" s="2" t="s">
        <v>10</v>
      </c>
      <c r="E605" s="2" t="s">
        <v>1776</v>
      </c>
      <c r="F605" s="2" t="s">
        <v>1777</v>
      </c>
      <c r="G605" s="2" t="s">
        <v>13</v>
      </c>
      <c r="H605" s="2" t="s">
        <v>14</v>
      </c>
    </row>
    <row r="606" customFormat="false" ht="22.35" hidden="false" customHeight="false" outlineLevel="0" collapsed="false">
      <c r="A606" s="2" t="n">
        <v>605</v>
      </c>
      <c r="B606" s="3" t="s">
        <v>1778</v>
      </c>
      <c r="C606" s="2" t="s">
        <v>1779</v>
      </c>
      <c r="D606" s="2" t="s">
        <v>10</v>
      </c>
      <c r="E606" s="2" t="s">
        <v>1780</v>
      </c>
      <c r="F606" s="4" t="s">
        <v>214</v>
      </c>
      <c r="G606" s="2" t="s">
        <v>13</v>
      </c>
      <c r="H606" s="2" t="s">
        <v>14</v>
      </c>
    </row>
    <row r="607" customFormat="false" ht="22.35" hidden="false" customHeight="false" outlineLevel="0" collapsed="false">
      <c r="A607" s="2" t="n">
        <v>606</v>
      </c>
      <c r="B607" s="3" t="s">
        <v>1781</v>
      </c>
      <c r="C607" s="2" t="s">
        <v>1782</v>
      </c>
      <c r="D607" s="2" t="s">
        <v>10</v>
      </c>
      <c r="E607" s="2" t="s">
        <v>585</v>
      </c>
      <c r="F607" s="4" t="s">
        <v>1357</v>
      </c>
      <c r="G607" s="2" t="s">
        <v>13</v>
      </c>
      <c r="H607" s="2" t="s">
        <v>14</v>
      </c>
    </row>
    <row r="608" customFormat="false" ht="32.8" hidden="false" customHeight="false" outlineLevel="0" collapsed="false">
      <c r="A608" s="2" t="n">
        <v>607</v>
      </c>
      <c r="B608" s="5" t="s">
        <v>1783</v>
      </c>
      <c r="C608" s="2" t="s">
        <v>1784</v>
      </c>
      <c r="D608" s="2" t="s">
        <v>10</v>
      </c>
      <c r="E608" s="2" t="s">
        <v>218</v>
      </c>
      <c r="F608" s="2" t="s">
        <v>186</v>
      </c>
      <c r="G608" s="2" t="s">
        <v>13</v>
      </c>
      <c r="H608" s="2" t="s">
        <v>417</v>
      </c>
    </row>
    <row r="609" customFormat="false" ht="22.35" hidden="false" customHeight="false" outlineLevel="0" collapsed="false">
      <c r="A609" s="2" t="n">
        <v>608</v>
      </c>
      <c r="B609" s="5" t="s">
        <v>1785</v>
      </c>
      <c r="C609" s="2" t="s">
        <v>1786</v>
      </c>
      <c r="D609" s="2" t="s">
        <v>10</v>
      </c>
      <c r="E609" s="2" t="s">
        <v>1787</v>
      </c>
      <c r="F609" s="2" t="s">
        <v>1788</v>
      </c>
      <c r="G609" s="2" t="s">
        <v>13</v>
      </c>
      <c r="H609" s="2" t="s">
        <v>14</v>
      </c>
    </row>
    <row r="610" customFormat="false" ht="22.35" hidden="false" customHeight="false" outlineLevel="0" collapsed="false">
      <c r="A610" s="2" t="n">
        <v>609</v>
      </c>
      <c r="B610" s="5" t="s">
        <v>1789</v>
      </c>
      <c r="C610" s="2" t="s">
        <v>1790</v>
      </c>
      <c r="D610" s="2" t="s">
        <v>10</v>
      </c>
      <c r="E610" s="2" t="s">
        <v>1787</v>
      </c>
      <c r="F610" s="2" t="s">
        <v>186</v>
      </c>
      <c r="G610" s="2" t="s">
        <v>13</v>
      </c>
      <c r="H610" s="2" t="s">
        <v>14</v>
      </c>
    </row>
    <row r="611" customFormat="false" ht="22.35" hidden="false" customHeight="false" outlineLevel="0" collapsed="false">
      <c r="A611" s="2" t="n">
        <v>610</v>
      </c>
      <c r="B611" s="5" t="s">
        <v>1791</v>
      </c>
      <c r="C611" s="2" t="s">
        <v>1792</v>
      </c>
      <c r="D611" s="2" t="s">
        <v>10</v>
      </c>
      <c r="E611" s="2" t="s">
        <v>1787</v>
      </c>
      <c r="F611" s="2" t="s">
        <v>1793</v>
      </c>
      <c r="G611" s="2" t="s">
        <v>13</v>
      </c>
      <c r="H611" s="2" t="s">
        <v>14</v>
      </c>
    </row>
    <row r="612" customFormat="false" ht="22.35" hidden="false" customHeight="false" outlineLevel="0" collapsed="false">
      <c r="A612" s="2" t="n">
        <v>611</v>
      </c>
      <c r="B612" s="5" t="s">
        <v>1794</v>
      </c>
      <c r="C612" s="2" t="s">
        <v>1795</v>
      </c>
      <c r="D612" s="2" t="s">
        <v>10</v>
      </c>
      <c r="E612" s="2" t="s">
        <v>1787</v>
      </c>
      <c r="F612" s="2" t="s">
        <v>766</v>
      </c>
      <c r="G612" s="2" t="s">
        <v>28</v>
      </c>
      <c r="H612" s="2" t="s">
        <v>14</v>
      </c>
    </row>
    <row r="613" customFormat="false" ht="22.35" hidden="false" customHeight="false" outlineLevel="0" collapsed="false">
      <c r="A613" s="2" t="n">
        <v>612</v>
      </c>
      <c r="B613" s="5" t="s">
        <v>1796</v>
      </c>
      <c r="C613" s="2" t="s">
        <v>1797</v>
      </c>
      <c r="D613" s="2" t="s">
        <v>10</v>
      </c>
      <c r="E613" s="2" t="s">
        <v>1787</v>
      </c>
      <c r="F613" s="2" t="s">
        <v>186</v>
      </c>
      <c r="G613" s="2" t="s">
        <v>13</v>
      </c>
      <c r="H613" s="2" t="s">
        <v>14</v>
      </c>
    </row>
    <row r="614" customFormat="false" ht="22.35" hidden="false" customHeight="false" outlineLevel="0" collapsed="false">
      <c r="A614" s="2" t="n">
        <v>613</v>
      </c>
      <c r="B614" s="5" t="s">
        <v>1798</v>
      </c>
      <c r="C614" s="2" t="s">
        <v>1799</v>
      </c>
      <c r="D614" s="2" t="s">
        <v>10</v>
      </c>
      <c r="E614" s="2" t="s">
        <v>1780</v>
      </c>
      <c r="F614" s="2" t="s">
        <v>95</v>
      </c>
      <c r="G614" s="2" t="s">
        <v>13</v>
      </c>
      <c r="H614" s="2" t="s">
        <v>417</v>
      </c>
    </row>
    <row r="615" customFormat="false" ht="22.35" hidden="false" customHeight="false" outlineLevel="0" collapsed="false">
      <c r="A615" s="2" t="n">
        <v>614</v>
      </c>
      <c r="B615" s="3" t="s">
        <v>1800</v>
      </c>
      <c r="C615" s="2" t="s">
        <v>1801</v>
      </c>
      <c r="D615" s="2" t="s">
        <v>10</v>
      </c>
      <c r="E615" s="2" t="s">
        <v>218</v>
      </c>
      <c r="F615" s="4" t="s">
        <v>1470</v>
      </c>
      <c r="G615" s="2" t="s">
        <v>13</v>
      </c>
      <c r="H615" s="2" t="s">
        <v>417</v>
      </c>
    </row>
    <row r="616" customFormat="false" ht="22.35" hidden="false" customHeight="false" outlineLevel="0" collapsed="false">
      <c r="A616" s="2" t="n">
        <v>615</v>
      </c>
      <c r="B616" s="5" t="s">
        <v>1802</v>
      </c>
      <c r="C616" s="2" t="s">
        <v>1803</v>
      </c>
      <c r="D616" s="2" t="s">
        <v>10</v>
      </c>
      <c r="E616" s="2" t="s">
        <v>1448</v>
      </c>
      <c r="F616" s="2" t="s">
        <v>1804</v>
      </c>
      <c r="G616" s="2" t="s">
        <v>13</v>
      </c>
      <c r="H616" s="2" t="s">
        <v>14</v>
      </c>
    </row>
    <row r="617" customFormat="false" ht="22.35" hidden="false" customHeight="false" outlineLevel="0" collapsed="false">
      <c r="A617" s="2" t="n">
        <v>616</v>
      </c>
      <c r="B617" s="5" t="s">
        <v>1805</v>
      </c>
      <c r="C617" s="2" t="s">
        <v>1806</v>
      </c>
      <c r="D617" s="2" t="s">
        <v>10</v>
      </c>
      <c r="E617" s="2" t="s">
        <v>218</v>
      </c>
      <c r="F617" s="2" t="s">
        <v>1807</v>
      </c>
      <c r="G617" s="2" t="s">
        <v>13</v>
      </c>
      <c r="H617" s="2" t="s">
        <v>417</v>
      </c>
    </row>
    <row r="618" customFormat="false" ht="15" hidden="false" customHeight="false" outlineLevel="0" collapsed="false">
      <c r="A618" s="2" t="n">
        <v>617</v>
      </c>
      <c r="B618" s="5" t="s">
        <v>1808</v>
      </c>
      <c r="C618" s="2" t="s">
        <v>1809</v>
      </c>
      <c r="D618" s="2" t="s">
        <v>10</v>
      </c>
      <c r="E618" s="2" t="s">
        <v>1156</v>
      </c>
      <c r="F618" s="2" t="s">
        <v>270</v>
      </c>
      <c r="G618" s="2" t="s">
        <v>13</v>
      </c>
      <c r="H618" s="2" t="s">
        <v>14</v>
      </c>
    </row>
    <row r="619" customFormat="false" ht="32.8" hidden="false" customHeight="false" outlineLevel="0" collapsed="false">
      <c r="A619" s="2" t="n">
        <v>618</v>
      </c>
      <c r="B619" s="5" t="s">
        <v>1810</v>
      </c>
      <c r="C619" s="2" t="s">
        <v>1811</v>
      </c>
      <c r="D619" s="2" t="s">
        <v>10</v>
      </c>
      <c r="E619" s="2" t="s">
        <v>178</v>
      </c>
      <c r="F619" s="2" t="s">
        <v>1812</v>
      </c>
      <c r="G619" s="2" t="s">
        <v>13</v>
      </c>
      <c r="H619" s="2" t="s">
        <v>417</v>
      </c>
    </row>
    <row r="620" customFormat="false" ht="15" hidden="false" customHeight="false" outlineLevel="0" collapsed="false">
      <c r="A620" s="2" t="n">
        <v>619</v>
      </c>
      <c r="B620" s="5" t="s">
        <v>1813</v>
      </c>
      <c r="C620" s="2" t="s">
        <v>1814</v>
      </c>
      <c r="D620" s="2" t="s">
        <v>10</v>
      </c>
      <c r="E620" s="2" t="s">
        <v>218</v>
      </c>
      <c r="F620" s="2" t="s">
        <v>25</v>
      </c>
      <c r="G620" s="2" t="s">
        <v>13</v>
      </c>
      <c r="H620" s="2" t="s">
        <v>417</v>
      </c>
    </row>
    <row r="621" customFormat="false" ht="15" hidden="false" customHeight="false" outlineLevel="0" collapsed="false">
      <c r="A621" s="2" t="n">
        <v>620</v>
      </c>
      <c r="B621" s="5" t="s">
        <v>1815</v>
      </c>
      <c r="C621" s="2" t="s">
        <v>1816</v>
      </c>
      <c r="D621" s="2" t="s">
        <v>10</v>
      </c>
      <c r="E621" s="2" t="s">
        <v>1817</v>
      </c>
      <c r="F621" s="2" t="s">
        <v>25</v>
      </c>
      <c r="G621" s="2" t="s">
        <v>13</v>
      </c>
      <c r="H621" s="2" t="s">
        <v>417</v>
      </c>
    </row>
    <row r="622" customFormat="false" ht="15" hidden="false" customHeight="false" outlineLevel="0" collapsed="false">
      <c r="A622" s="2" t="n">
        <v>621</v>
      </c>
      <c r="B622" s="5" t="s">
        <v>1818</v>
      </c>
      <c r="C622" s="2" t="s">
        <v>1819</v>
      </c>
      <c r="D622" s="2" t="s">
        <v>10</v>
      </c>
      <c r="E622" s="2" t="s">
        <v>218</v>
      </c>
      <c r="F622" s="2" t="s">
        <v>1820</v>
      </c>
      <c r="G622" s="2" t="s">
        <v>13</v>
      </c>
      <c r="H622" s="2" t="s">
        <v>14</v>
      </c>
    </row>
    <row r="623" customFormat="false" ht="22.35" hidden="false" customHeight="false" outlineLevel="0" collapsed="false">
      <c r="A623" s="2" t="n">
        <v>622</v>
      </c>
      <c r="B623" s="5" t="s">
        <v>1821</v>
      </c>
      <c r="C623" s="2" t="s">
        <v>1822</v>
      </c>
      <c r="D623" s="2" t="s">
        <v>10</v>
      </c>
      <c r="E623" s="2" t="s">
        <v>218</v>
      </c>
      <c r="F623" s="2" t="s">
        <v>1812</v>
      </c>
      <c r="G623" s="2" t="s">
        <v>13</v>
      </c>
      <c r="H623" s="2" t="s">
        <v>417</v>
      </c>
    </row>
    <row r="624" customFormat="false" ht="32.8" hidden="false" customHeight="false" outlineLevel="0" collapsed="false">
      <c r="A624" s="2" t="n">
        <v>623</v>
      </c>
      <c r="B624" s="5" t="s">
        <v>1823</v>
      </c>
      <c r="C624" s="2" t="s">
        <v>1824</v>
      </c>
      <c r="D624" s="2" t="s">
        <v>10</v>
      </c>
      <c r="E624" s="2" t="s">
        <v>1776</v>
      </c>
      <c r="F624" s="2" t="s">
        <v>1825</v>
      </c>
      <c r="G624" s="2" t="s">
        <v>13</v>
      </c>
      <c r="H624" s="2" t="s">
        <v>417</v>
      </c>
    </row>
    <row r="625" customFormat="false" ht="15" hidden="false" customHeight="false" outlineLevel="0" collapsed="false">
      <c r="A625" s="2" t="n">
        <v>624</v>
      </c>
      <c r="B625" s="5" t="s">
        <v>1826</v>
      </c>
      <c r="C625" s="2" t="s">
        <v>1827</v>
      </c>
      <c r="D625" s="2" t="s">
        <v>10</v>
      </c>
      <c r="E625" s="2" t="s">
        <v>1828</v>
      </c>
      <c r="F625" s="2" t="s">
        <v>186</v>
      </c>
      <c r="G625" s="2" t="s">
        <v>13</v>
      </c>
      <c r="H625" s="2" t="s">
        <v>14</v>
      </c>
    </row>
    <row r="626" customFormat="false" ht="32.8" hidden="false" customHeight="false" outlineLevel="0" collapsed="false">
      <c r="A626" s="2" t="n">
        <v>625</v>
      </c>
      <c r="B626" s="3" t="s">
        <v>1829</v>
      </c>
      <c r="C626" s="2" t="s">
        <v>1830</v>
      </c>
      <c r="D626" s="2" t="s">
        <v>1831</v>
      </c>
      <c r="E626" s="2" t="s">
        <v>178</v>
      </c>
      <c r="F626" s="4" t="s">
        <v>1832</v>
      </c>
      <c r="G626" s="2" t="s">
        <v>13</v>
      </c>
      <c r="H626" s="2" t="s">
        <v>417</v>
      </c>
    </row>
    <row r="627" customFormat="false" ht="22.35" hidden="false" customHeight="false" outlineLevel="0" collapsed="false">
      <c r="A627" s="2" t="n">
        <v>626</v>
      </c>
      <c r="B627" s="5" t="s">
        <v>1833</v>
      </c>
      <c r="C627" s="2" t="s">
        <v>1834</v>
      </c>
      <c r="D627" s="2" t="s">
        <v>10</v>
      </c>
      <c r="E627" s="2" t="s">
        <v>218</v>
      </c>
      <c r="F627" s="2" t="s">
        <v>1835</v>
      </c>
      <c r="G627" s="2" t="s">
        <v>13</v>
      </c>
      <c r="H627" s="2" t="s">
        <v>14</v>
      </c>
    </row>
    <row r="628" customFormat="false" ht="22.35" hidden="false" customHeight="false" outlineLevel="0" collapsed="false">
      <c r="A628" s="2" t="n">
        <v>627</v>
      </c>
      <c r="B628" s="5" t="s">
        <v>1836</v>
      </c>
      <c r="C628" s="2" t="s">
        <v>1837</v>
      </c>
      <c r="D628" s="2" t="s">
        <v>10</v>
      </c>
      <c r="E628" s="2" t="s">
        <v>1838</v>
      </c>
      <c r="F628" s="2" t="s">
        <v>1839</v>
      </c>
      <c r="G628" s="2" t="s">
        <v>13</v>
      </c>
      <c r="H628" s="2" t="s">
        <v>417</v>
      </c>
    </row>
    <row r="629" customFormat="false" ht="22.35" hidden="false" customHeight="false" outlineLevel="0" collapsed="false">
      <c r="A629" s="2" t="n">
        <v>628</v>
      </c>
      <c r="B629" s="5" t="s">
        <v>1840</v>
      </c>
      <c r="C629" s="2" t="s">
        <v>1841</v>
      </c>
      <c r="D629" s="2" t="s">
        <v>10</v>
      </c>
      <c r="E629" s="2" t="s">
        <v>1842</v>
      </c>
      <c r="F629" s="2" t="s">
        <v>1843</v>
      </c>
      <c r="G629" s="2" t="s">
        <v>13</v>
      </c>
      <c r="H629" s="2" t="s">
        <v>14</v>
      </c>
    </row>
    <row r="630" customFormat="false" ht="22.35" hidden="false" customHeight="false" outlineLevel="0" collapsed="false">
      <c r="A630" s="2" t="n">
        <v>629</v>
      </c>
      <c r="B630" s="5" t="s">
        <v>1844</v>
      </c>
      <c r="C630" s="2" t="s">
        <v>1845</v>
      </c>
      <c r="D630" s="2" t="s">
        <v>10</v>
      </c>
      <c r="E630" s="2" t="s">
        <v>1846</v>
      </c>
      <c r="F630" s="2" t="s">
        <v>1847</v>
      </c>
      <c r="G630" s="2" t="s">
        <v>13</v>
      </c>
      <c r="H630" s="2" t="s">
        <v>417</v>
      </c>
    </row>
    <row r="631" customFormat="false" ht="15" hidden="false" customHeight="false" outlineLevel="0" collapsed="false">
      <c r="A631" s="2" t="n">
        <v>630</v>
      </c>
      <c r="B631" s="5" t="s">
        <v>1848</v>
      </c>
      <c r="C631" s="2" t="s">
        <v>1849</v>
      </c>
      <c r="D631" s="2" t="s">
        <v>10</v>
      </c>
      <c r="E631" s="2" t="s">
        <v>1850</v>
      </c>
      <c r="F631" s="2" t="s">
        <v>1851</v>
      </c>
      <c r="G631" s="2" t="s">
        <v>13</v>
      </c>
      <c r="H631" s="2" t="s">
        <v>417</v>
      </c>
    </row>
    <row r="632" customFormat="false" ht="22.35" hidden="false" customHeight="false" outlineLevel="0" collapsed="false">
      <c r="A632" s="2" t="n">
        <v>631</v>
      </c>
      <c r="B632" s="5" t="s">
        <v>1852</v>
      </c>
      <c r="C632" s="2" t="s">
        <v>1853</v>
      </c>
      <c r="D632" s="2" t="s">
        <v>10</v>
      </c>
      <c r="E632" s="2" t="s">
        <v>1780</v>
      </c>
      <c r="F632" s="2" t="s">
        <v>788</v>
      </c>
      <c r="G632" s="2" t="s">
        <v>13</v>
      </c>
      <c r="H632" s="2" t="s">
        <v>417</v>
      </c>
    </row>
    <row r="633" customFormat="false" ht="22.35" hidden="false" customHeight="false" outlineLevel="0" collapsed="false">
      <c r="A633" s="2" t="n">
        <v>632</v>
      </c>
      <c r="B633" s="3" t="s">
        <v>1854</v>
      </c>
      <c r="C633" s="2" t="s">
        <v>1855</v>
      </c>
      <c r="D633" s="2" t="s">
        <v>10</v>
      </c>
      <c r="E633" s="2" t="s">
        <v>1780</v>
      </c>
      <c r="F633" s="4" t="s">
        <v>1856</v>
      </c>
      <c r="G633" s="2" t="s">
        <v>13</v>
      </c>
      <c r="H633" s="2" t="s">
        <v>14</v>
      </c>
    </row>
    <row r="634" customFormat="false" ht="22.35" hidden="false" customHeight="false" outlineLevel="0" collapsed="false">
      <c r="A634" s="2" t="n">
        <v>633</v>
      </c>
      <c r="B634" s="3" t="s">
        <v>1857</v>
      </c>
      <c r="C634" s="2" t="s">
        <v>1858</v>
      </c>
      <c r="D634" s="2" t="s">
        <v>10</v>
      </c>
      <c r="E634" s="2" t="s">
        <v>1859</v>
      </c>
      <c r="F634" s="4" t="s">
        <v>1860</v>
      </c>
      <c r="G634" s="2" t="s">
        <v>13</v>
      </c>
      <c r="H634" s="2" t="s">
        <v>14</v>
      </c>
    </row>
    <row r="635" customFormat="false" ht="22.35" hidden="false" customHeight="false" outlineLevel="0" collapsed="false">
      <c r="A635" s="2" t="n">
        <v>634</v>
      </c>
      <c r="B635" s="5" t="s">
        <v>1861</v>
      </c>
      <c r="C635" s="2" t="s">
        <v>1862</v>
      </c>
      <c r="D635" s="2" t="s">
        <v>10</v>
      </c>
      <c r="E635" s="2" t="s">
        <v>1863</v>
      </c>
      <c r="F635" s="2" t="s">
        <v>1864</v>
      </c>
      <c r="G635" s="2" t="s">
        <v>13</v>
      </c>
      <c r="H635" s="2" t="s">
        <v>14</v>
      </c>
    </row>
    <row r="636" customFormat="false" ht="22.35" hidden="false" customHeight="false" outlineLevel="0" collapsed="false">
      <c r="A636" s="2" t="n">
        <v>635</v>
      </c>
      <c r="B636" s="5" t="s">
        <v>1865</v>
      </c>
      <c r="C636" s="2" t="s">
        <v>1866</v>
      </c>
      <c r="D636" s="2" t="s">
        <v>10</v>
      </c>
      <c r="E636" s="2" t="s">
        <v>218</v>
      </c>
      <c r="F636" s="2" t="s">
        <v>1867</v>
      </c>
      <c r="G636" s="2" t="s">
        <v>13</v>
      </c>
      <c r="H636" s="2" t="s">
        <v>14</v>
      </c>
    </row>
    <row r="637" customFormat="false" ht="15" hidden="false" customHeight="false" outlineLevel="0" collapsed="false">
      <c r="A637" s="2" t="n">
        <v>636</v>
      </c>
      <c r="B637" s="5" t="s">
        <v>1868</v>
      </c>
      <c r="C637" s="2" t="s">
        <v>1869</v>
      </c>
      <c r="D637" s="2" t="s">
        <v>10</v>
      </c>
      <c r="E637" s="2" t="s">
        <v>1740</v>
      </c>
      <c r="F637" s="2" t="s">
        <v>1870</v>
      </c>
      <c r="G637" s="2" t="s">
        <v>13</v>
      </c>
      <c r="H637" s="2" t="s">
        <v>14</v>
      </c>
    </row>
    <row r="638" customFormat="false" ht="22.35" hidden="false" customHeight="false" outlineLevel="0" collapsed="false">
      <c r="A638" s="2" t="n">
        <v>637</v>
      </c>
      <c r="B638" s="5" t="s">
        <v>1871</v>
      </c>
      <c r="C638" s="2" t="s">
        <v>1872</v>
      </c>
      <c r="D638" s="2" t="s">
        <v>10</v>
      </c>
      <c r="E638" s="2" t="s">
        <v>218</v>
      </c>
      <c r="F638" s="2" t="s">
        <v>350</v>
      </c>
      <c r="G638" s="2" t="s">
        <v>13</v>
      </c>
      <c r="H638" s="2" t="s">
        <v>14</v>
      </c>
    </row>
    <row r="639" customFormat="false" ht="32.8" hidden="false" customHeight="false" outlineLevel="0" collapsed="false">
      <c r="A639" s="2" t="n">
        <v>638</v>
      </c>
      <c r="B639" s="3" t="s">
        <v>1873</v>
      </c>
      <c r="C639" s="2" t="s">
        <v>1874</v>
      </c>
      <c r="D639" s="2" t="s">
        <v>10</v>
      </c>
      <c r="E639" s="2" t="s">
        <v>218</v>
      </c>
      <c r="F639" s="4" t="s">
        <v>1860</v>
      </c>
      <c r="G639" s="2" t="s">
        <v>13</v>
      </c>
      <c r="H639" s="2" t="s">
        <v>14</v>
      </c>
    </row>
    <row r="640" customFormat="false" ht="22.35" hidden="false" customHeight="false" outlineLevel="0" collapsed="false">
      <c r="A640" s="2" t="n">
        <v>639</v>
      </c>
      <c r="B640" s="5" t="s">
        <v>1875</v>
      </c>
      <c r="C640" s="2" t="s">
        <v>1876</v>
      </c>
      <c r="D640" s="2" t="s">
        <v>10</v>
      </c>
      <c r="E640" s="2" t="s">
        <v>218</v>
      </c>
      <c r="F640" s="2" t="s">
        <v>283</v>
      </c>
      <c r="G640" s="2" t="s">
        <v>13</v>
      </c>
      <c r="H640" s="2" t="s">
        <v>14</v>
      </c>
    </row>
    <row r="641" customFormat="false" ht="22.35" hidden="false" customHeight="false" outlineLevel="0" collapsed="false">
      <c r="A641" s="2" t="n">
        <v>640</v>
      </c>
      <c r="B641" s="5" t="s">
        <v>1877</v>
      </c>
      <c r="C641" s="2" t="s">
        <v>1878</v>
      </c>
      <c r="D641" s="2" t="s">
        <v>10</v>
      </c>
      <c r="E641" s="2" t="s">
        <v>729</v>
      </c>
      <c r="F641" s="2" t="s">
        <v>1502</v>
      </c>
      <c r="G641" s="2" t="s">
        <v>13</v>
      </c>
      <c r="H641" s="2" t="s">
        <v>417</v>
      </c>
    </row>
    <row r="642" customFormat="false" ht="22.35" hidden="false" customHeight="false" outlineLevel="0" collapsed="false">
      <c r="A642" s="2" t="n">
        <v>641</v>
      </c>
      <c r="B642" s="5" t="s">
        <v>1879</v>
      </c>
      <c r="C642" s="2" t="s">
        <v>1880</v>
      </c>
      <c r="D642" s="2" t="s">
        <v>10</v>
      </c>
      <c r="E642" s="2" t="s">
        <v>1881</v>
      </c>
      <c r="F642" s="2" t="s">
        <v>1882</v>
      </c>
      <c r="G642" s="2" t="s">
        <v>28</v>
      </c>
      <c r="H642" s="2" t="s">
        <v>14</v>
      </c>
    </row>
    <row r="643" customFormat="false" ht="22.35" hidden="false" customHeight="false" outlineLevel="0" collapsed="false">
      <c r="A643" s="2" t="n">
        <v>642</v>
      </c>
      <c r="B643" s="5" t="s">
        <v>1883</v>
      </c>
      <c r="C643" s="2" t="s">
        <v>1884</v>
      </c>
      <c r="D643" s="2" t="s">
        <v>10</v>
      </c>
      <c r="E643" s="2" t="s">
        <v>1375</v>
      </c>
      <c r="F643" s="2" t="s">
        <v>1643</v>
      </c>
      <c r="G643" s="2" t="s">
        <v>13</v>
      </c>
      <c r="H643" s="2" t="s">
        <v>14</v>
      </c>
    </row>
    <row r="644" customFormat="false" ht="22.35" hidden="false" customHeight="false" outlineLevel="0" collapsed="false">
      <c r="A644" s="2" t="n">
        <v>643</v>
      </c>
      <c r="B644" s="5" t="s">
        <v>1885</v>
      </c>
      <c r="C644" s="2" t="s">
        <v>1886</v>
      </c>
      <c r="D644" s="2" t="s">
        <v>10</v>
      </c>
      <c r="E644" s="2" t="s">
        <v>1780</v>
      </c>
      <c r="F644" s="2" t="s">
        <v>1286</v>
      </c>
      <c r="G644" s="2" t="s">
        <v>13</v>
      </c>
      <c r="H644" s="2" t="s">
        <v>14</v>
      </c>
    </row>
    <row r="645" customFormat="false" ht="22.35" hidden="false" customHeight="false" outlineLevel="0" collapsed="false">
      <c r="A645" s="2" t="n">
        <v>644</v>
      </c>
      <c r="B645" s="5" t="s">
        <v>1887</v>
      </c>
      <c r="C645" s="2" t="s">
        <v>1888</v>
      </c>
      <c r="D645" s="2" t="s">
        <v>10</v>
      </c>
      <c r="E645" s="2" t="s">
        <v>1375</v>
      </c>
      <c r="F645" s="2" t="s">
        <v>1889</v>
      </c>
      <c r="G645" s="2" t="s">
        <v>13</v>
      </c>
      <c r="H645" s="2" t="s">
        <v>417</v>
      </c>
    </row>
    <row r="646" customFormat="false" ht="22.35" hidden="false" customHeight="false" outlineLevel="0" collapsed="false">
      <c r="A646" s="2" t="n">
        <v>645</v>
      </c>
      <c r="B646" s="5" t="s">
        <v>1890</v>
      </c>
      <c r="C646" s="2" t="s">
        <v>1891</v>
      </c>
      <c r="D646" s="2" t="s">
        <v>10</v>
      </c>
      <c r="E646" s="2" t="s">
        <v>1892</v>
      </c>
      <c r="F646" s="2" t="s">
        <v>1414</v>
      </c>
      <c r="G646" s="2" t="s">
        <v>13</v>
      </c>
      <c r="H646" s="2" t="s">
        <v>417</v>
      </c>
    </row>
    <row r="647" customFormat="false" ht="22.35" hidden="false" customHeight="false" outlineLevel="0" collapsed="false">
      <c r="A647" s="2" t="n">
        <v>646</v>
      </c>
      <c r="B647" s="5" t="s">
        <v>1893</v>
      </c>
      <c r="C647" s="2" t="s">
        <v>1894</v>
      </c>
      <c r="D647" s="2" t="s">
        <v>10</v>
      </c>
      <c r="E647" s="2" t="s">
        <v>1895</v>
      </c>
      <c r="F647" s="2" t="s">
        <v>1896</v>
      </c>
      <c r="G647" s="2" t="s">
        <v>13</v>
      </c>
      <c r="H647" s="2" t="s">
        <v>417</v>
      </c>
    </row>
    <row r="648" customFormat="false" ht="22.35" hidden="false" customHeight="false" outlineLevel="0" collapsed="false">
      <c r="A648" s="2" t="n">
        <v>647</v>
      </c>
      <c r="B648" s="3" t="s">
        <v>1897</v>
      </c>
      <c r="C648" s="2" t="s">
        <v>1898</v>
      </c>
      <c r="D648" s="2" t="s">
        <v>10</v>
      </c>
      <c r="E648" s="2" t="s">
        <v>1780</v>
      </c>
      <c r="F648" s="4" t="s">
        <v>1899</v>
      </c>
      <c r="G648" s="2" t="s">
        <v>13</v>
      </c>
      <c r="H648" s="2" t="s">
        <v>14</v>
      </c>
    </row>
    <row r="649" customFormat="false" ht="22.35" hidden="false" customHeight="false" outlineLevel="0" collapsed="false">
      <c r="A649" s="2" t="n">
        <v>648</v>
      </c>
      <c r="B649" s="3" t="s">
        <v>1900</v>
      </c>
      <c r="C649" s="2" t="s">
        <v>1901</v>
      </c>
      <c r="D649" s="2" t="s">
        <v>10</v>
      </c>
      <c r="E649" s="2" t="s">
        <v>1892</v>
      </c>
      <c r="F649" s="4" t="s">
        <v>1902</v>
      </c>
      <c r="G649" s="2" t="s">
        <v>13</v>
      </c>
      <c r="H649" s="2" t="s">
        <v>417</v>
      </c>
    </row>
    <row r="650" customFormat="false" ht="15" hidden="false" customHeight="false" outlineLevel="0" collapsed="false">
      <c r="A650" s="2" t="n">
        <v>649</v>
      </c>
      <c r="B650" s="3" t="s">
        <v>1903</v>
      </c>
      <c r="C650" s="2" t="s">
        <v>1904</v>
      </c>
      <c r="D650" s="2" t="s">
        <v>10</v>
      </c>
      <c r="E650" s="2" t="s">
        <v>1031</v>
      </c>
      <c r="F650" s="4" t="s">
        <v>657</v>
      </c>
      <c r="G650" s="2" t="s">
        <v>13</v>
      </c>
      <c r="H650" s="2" t="s">
        <v>14</v>
      </c>
    </row>
    <row r="651" customFormat="false" ht="22.35" hidden="false" customHeight="false" outlineLevel="0" collapsed="false">
      <c r="A651" s="2" t="n">
        <v>650</v>
      </c>
      <c r="B651" s="5" t="s">
        <v>1905</v>
      </c>
      <c r="C651" s="2" t="s">
        <v>1906</v>
      </c>
      <c r="D651" s="2" t="s">
        <v>10</v>
      </c>
      <c r="E651" s="2" t="s">
        <v>1907</v>
      </c>
      <c r="F651" s="2" t="s">
        <v>588</v>
      </c>
      <c r="G651" s="2" t="s">
        <v>13</v>
      </c>
      <c r="H651" s="2" t="s">
        <v>14</v>
      </c>
    </row>
    <row r="652" customFormat="false" ht="22.35" hidden="false" customHeight="false" outlineLevel="0" collapsed="false">
      <c r="A652" s="2" t="n">
        <v>651</v>
      </c>
      <c r="B652" s="5" t="s">
        <v>1908</v>
      </c>
      <c r="C652" s="2" t="s">
        <v>1909</v>
      </c>
      <c r="D652" s="2" t="s">
        <v>10</v>
      </c>
      <c r="E652" s="2" t="s">
        <v>1910</v>
      </c>
      <c r="F652" s="2" t="s">
        <v>1911</v>
      </c>
      <c r="G652" s="2" t="s">
        <v>13</v>
      </c>
      <c r="H652" s="2" t="s">
        <v>417</v>
      </c>
    </row>
    <row r="653" customFormat="false" ht="22.35" hidden="false" customHeight="false" outlineLevel="0" collapsed="false">
      <c r="A653" s="2" t="n">
        <v>652</v>
      </c>
      <c r="B653" s="5" t="s">
        <v>1912</v>
      </c>
      <c r="C653" s="2" t="s">
        <v>1913</v>
      </c>
      <c r="D653" s="2" t="s">
        <v>10</v>
      </c>
      <c r="E653" s="2" t="s">
        <v>1914</v>
      </c>
      <c r="F653" s="2" t="s">
        <v>27</v>
      </c>
      <c r="G653" s="2" t="s">
        <v>13</v>
      </c>
      <c r="H653" s="2" t="s">
        <v>14</v>
      </c>
    </row>
    <row r="654" customFormat="false" ht="22.35" hidden="false" customHeight="false" outlineLevel="0" collapsed="false">
      <c r="A654" s="2" t="n">
        <v>653</v>
      </c>
      <c r="B654" s="5" t="s">
        <v>1915</v>
      </c>
      <c r="C654" s="2" t="s">
        <v>1916</v>
      </c>
      <c r="D654" s="2" t="s">
        <v>10</v>
      </c>
      <c r="E654" s="2" t="s">
        <v>1917</v>
      </c>
      <c r="F654" s="2" t="s">
        <v>21</v>
      </c>
      <c r="G654" s="2" t="s">
        <v>28</v>
      </c>
      <c r="H654" s="2" t="s">
        <v>14</v>
      </c>
    </row>
    <row r="655" customFormat="false" ht="15" hidden="false" customHeight="false" outlineLevel="0" collapsed="false">
      <c r="A655" s="2" t="n">
        <v>654</v>
      </c>
      <c r="B655" s="5" t="s">
        <v>1918</v>
      </c>
      <c r="C655" s="2" t="s">
        <v>1919</v>
      </c>
      <c r="D655" s="2" t="s">
        <v>10</v>
      </c>
      <c r="E655" s="2" t="s">
        <v>1920</v>
      </c>
      <c r="F655" s="2" t="s">
        <v>21</v>
      </c>
      <c r="G655" s="2" t="s">
        <v>13</v>
      </c>
      <c r="H655" s="2" t="s">
        <v>14</v>
      </c>
    </row>
    <row r="656" customFormat="false" ht="22.35" hidden="false" customHeight="false" outlineLevel="0" collapsed="false">
      <c r="A656" s="2" t="n">
        <v>655</v>
      </c>
      <c r="B656" s="5" t="s">
        <v>1921</v>
      </c>
      <c r="C656" s="2" t="s">
        <v>1922</v>
      </c>
      <c r="D656" s="2" t="s">
        <v>10</v>
      </c>
      <c r="E656" s="2" t="s">
        <v>1448</v>
      </c>
      <c r="F656" s="2" t="s">
        <v>1923</v>
      </c>
      <c r="G656" s="2" t="s">
        <v>13</v>
      </c>
      <c r="H656" s="2" t="s">
        <v>14</v>
      </c>
    </row>
    <row r="657" customFormat="false" ht="15" hidden="false" customHeight="false" outlineLevel="0" collapsed="false">
      <c r="A657" s="2" t="n">
        <v>656</v>
      </c>
      <c r="B657" s="5" t="s">
        <v>1924</v>
      </c>
      <c r="C657" s="2" t="s">
        <v>1925</v>
      </c>
      <c r="D657" s="2" t="s">
        <v>10</v>
      </c>
      <c r="E657" s="2" t="s">
        <v>1926</v>
      </c>
      <c r="F657" s="2" t="s">
        <v>1927</v>
      </c>
      <c r="G657" s="2" t="s">
        <v>28</v>
      </c>
      <c r="H657" s="2" t="s">
        <v>417</v>
      </c>
    </row>
    <row r="658" customFormat="false" ht="22.35" hidden="false" customHeight="false" outlineLevel="0" collapsed="false">
      <c r="A658" s="2" t="n">
        <v>657</v>
      </c>
      <c r="B658" s="5" t="s">
        <v>1928</v>
      </c>
      <c r="C658" s="2" t="s">
        <v>1929</v>
      </c>
      <c r="D658" s="2" t="s">
        <v>10</v>
      </c>
      <c r="E658" s="2" t="s">
        <v>1780</v>
      </c>
      <c r="F658" s="2" t="s">
        <v>1081</v>
      </c>
      <c r="G658" s="2" t="s">
        <v>13</v>
      </c>
      <c r="H658" s="2" t="s">
        <v>417</v>
      </c>
    </row>
    <row r="659" customFormat="false" ht="22.35" hidden="false" customHeight="false" outlineLevel="0" collapsed="false">
      <c r="A659" s="2" t="n">
        <v>658</v>
      </c>
      <c r="B659" s="5" t="s">
        <v>1930</v>
      </c>
      <c r="C659" s="2" t="s">
        <v>1931</v>
      </c>
      <c r="D659" s="2" t="s">
        <v>1831</v>
      </c>
      <c r="E659" s="2" t="s">
        <v>880</v>
      </c>
      <c r="F659" s="2" t="s">
        <v>413</v>
      </c>
      <c r="G659" s="2" t="s">
        <v>13</v>
      </c>
      <c r="H659" s="2" t="s">
        <v>14</v>
      </c>
    </row>
    <row r="660" customFormat="false" ht="15" hidden="false" customHeight="false" outlineLevel="0" collapsed="false">
      <c r="A660" s="2" t="n">
        <v>659</v>
      </c>
      <c r="B660" s="5" t="s">
        <v>1932</v>
      </c>
      <c r="C660" s="2" t="s">
        <v>1933</v>
      </c>
      <c r="D660" s="2" t="s">
        <v>1831</v>
      </c>
      <c r="E660" s="2" t="s">
        <v>934</v>
      </c>
      <c r="F660" s="2" t="s">
        <v>1934</v>
      </c>
      <c r="G660" s="2" t="s">
        <v>28</v>
      </c>
      <c r="H660" s="2" t="s">
        <v>14</v>
      </c>
    </row>
    <row r="661" customFormat="false" ht="22.35" hidden="false" customHeight="false" outlineLevel="0" collapsed="false">
      <c r="A661" s="2" t="n">
        <v>660</v>
      </c>
      <c r="B661" s="5" t="s">
        <v>1935</v>
      </c>
      <c r="C661" s="2" t="s">
        <v>1936</v>
      </c>
      <c r="D661" s="2" t="s">
        <v>1831</v>
      </c>
      <c r="E661" s="2" t="s">
        <v>851</v>
      </c>
      <c r="F661" s="2" t="s">
        <v>1937</v>
      </c>
      <c r="G661" s="2" t="s">
        <v>13</v>
      </c>
      <c r="H661" s="2" t="s">
        <v>14</v>
      </c>
    </row>
    <row r="662" customFormat="false" ht="22.35" hidden="false" customHeight="false" outlineLevel="0" collapsed="false">
      <c r="A662" s="2" t="n">
        <v>661</v>
      </c>
      <c r="B662" s="5" t="s">
        <v>1938</v>
      </c>
      <c r="C662" s="2" t="s">
        <v>1939</v>
      </c>
      <c r="D662" s="2" t="s">
        <v>10</v>
      </c>
      <c r="E662" s="2" t="s">
        <v>1940</v>
      </c>
      <c r="F662" s="2" t="s">
        <v>191</v>
      </c>
      <c r="G662" s="2" t="s">
        <v>13</v>
      </c>
      <c r="H662" s="2" t="s">
        <v>14</v>
      </c>
    </row>
    <row r="663" customFormat="false" ht="22.35" hidden="false" customHeight="false" outlineLevel="0" collapsed="false">
      <c r="A663" s="2" t="n">
        <v>662</v>
      </c>
      <c r="B663" s="5" t="s">
        <v>1941</v>
      </c>
      <c r="C663" s="2" t="s">
        <v>1942</v>
      </c>
      <c r="D663" s="2" t="s">
        <v>10</v>
      </c>
      <c r="E663" s="2" t="s">
        <v>1940</v>
      </c>
      <c r="F663" s="2" t="s">
        <v>95</v>
      </c>
      <c r="G663" s="2" t="s">
        <v>13</v>
      </c>
      <c r="H663" s="2" t="s">
        <v>14</v>
      </c>
    </row>
    <row r="664" customFormat="false" ht="22.35" hidden="false" customHeight="false" outlineLevel="0" collapsed="false">
      <c r="A664" s="2" t="n">
        <v>663</v>
      </c>
      <c r="B664" s="5" t="s">
        <v>1943</v>
      </c>
      <c r="C664" s="2" t="s">
        <v>1944</v>
      </c>
      <c r="D664" s="2" t="s">
        <v>10</v>
      </c>
      <c r="E664" s="2" t="s">
        <v>218</v>
      </c>
      <c r="F664" s="2" t="s">
        <v>1945</v>
      </c>
      <c r="G664" s="2" t="s">
        <v>13</v>
      </c>
      <c r="H664" s="2" t="s">
        <v>14</v>
      </c>
    </row>
    <row r="665" customFormat="false" ht="22.35" hidden="false" customHeight="false" outlineLevel="0" collapsed="false">
      <c r="A665" s="2" t="n">
        <v>664</v>
      </c>
      <c r="B665" s="5" t="s">
        <v>1946</v>
      </c>
      <c r="C665" s="2" t="s">
        <v>1947</v>
      </c>
      <c r="D665" s="2" t="s">
        <v>10</v>
      </c>
      <c r="E665" s="2" t="s">
        <v>1375</v>
      </c>
      <c r="F665" s="2" t="s">
        <v>25</v>
      </c>
      <c r="G665" s="2" t="s">
        <v>13</v>
      </c>
      <c r="H665" s="2" t="s">
        <v>14</v>
      </c>
    </row>
    <row r="666" customFormat="false" ht="22.35" hidden="false" customHeight="false" outlineLevel="0" collapsed="false">
      <c r="A666" s="2" t="n">
        <v>665</v>
      </c>
      <c r="B666" s="3" t="s">
        <v>1948</v>
      </c>
      <c r="C666" s="2" t="s">
        <v>1949</v>
      </c>
      <c r="D666" s="2" t="s">
        <v>10</v>
      </c>
      <c r="E666" s="2" t="s">
        <v>1375</v>
      </c>
      <c r="F666" s="4" t="s">
        <v>1950</v>
      </c>
      <c r="G666" s="2" t="s">
        <v>13</v>
      </c>
      <c r="H666" s="2" t="s">
        <v>417</v>
      </c>
    </row>
    <row r="667" customFormat="false" ht="32.8" hidden="false" customHeight="false" outlineLevel="0" collapsed="false">
      <c r="A667" s="2" t="n">
        <v>666</v>
      </c>
      <c r="B667" s="3" t="s">
        <v>1951</v>
      </c>
      <c r="C667" s="2" t="s">
        <v>1952</v>
      </c>
      <c r="D667" s="2" t="s">
        <v>10</v>
      </c>
      <c r="E667" s="2" t="s">
        <v>1292</v>
      </c>
      <c r="F667" s="4" t="s">
        <v>214</v>
      </c>
      <c r="G667" s="2" t="s">
        <v>13</v>
      </c>
      <c r="H667" s="2" t="s">
        <v>417</v>
      </c>
    </row>
    <row r="668" customFormat="false" ht="22.35" hidden="false" customHeight="false" outlineLevel="0" collapsed="false">
      <c r="A668" s="2" t="n">
        <v>667</v>
      </c>
      <c r="B668" s="5" t="s">
        <v>1953</v>
      </c>
      <c r="C668" s="2" t="s">
        <v>1954</v>
      </c>
      <c r="D668" s="2" t="s">
        <v>10</v>
      </c>
      <c r="E668" s="2" t="s">
        <v>971</v>
      </c>
      <c r="F668" s="2" t="s">
        <v>1955</v>
      </c>
      <c r="G668" s="2" t="s">
        <v>28</v>
      </c>
      <c r="H668" s="2" t="s">
        <v>14</v>
      </c>
    </row>
    <row r="669" customFormat="false" ht="22.35" hidden="false" customHeight="false" outlineLevel="0" collapsed="false">
      <c r="A669" s="2" t="n">
        <v>668</v>
      </c>
      <c r="B669" s="5" t="s">
        <v>1956</v>
      </c>
      <c r="C669" s="2" t="s">
        <v>1957</v>
      </c>
      <c r="D669" s="2" t="s">
        <v>10</v>
      </c>
      <c r="E669" s="2" t="s">
        <v>218</v>
      </c>
      <c r="F669" s="2" t="s">
        <v>1955</v>
      </c>
      <c r="G669" s="2" t="s">
        <v>28</v>
      </c>
      <c r="H669" s="2" t="s">
        <v>14</v>
      </c>
    </row>
    <row r="670" customFormat="false" ht="15" hidden="false" customHeight="false" outlineLevel="0" collapsed="false">
      <c r="A670" s="2" t="n">
        <v>669</v>
      </c>
      <c r="B670" s="5" t="s">
        <v>1958</v>
      </c>
      <c r="C670" s="2" t="s">
        <v>1959</v>
      </c>
      <c r="D670" s="2" t="s">
        <v>10</v>
      </c>
      <c r="E670" s="2" t="s">
        <v>218</v>
      </c>
      <c r="F670" s="2" t="s">
        <v>1960</v>
      </c>
      <c r="G670" s="2" t="s">
        <v>13</v>
      </c>
      <c r="H670" s="2" t="s">
        <v>417</v>
      </c>
    </row>
    <row r="671" customFormat="false" ht="22.35" hidden="false" customHeight="false" outlineLevel="0" collapsed="false">
      <c r="A671" s="2" t="n">
        <v>670</v>
      </c>
      <c r="B671" s="5" t="s">
        <v>1961</v>
      </c>
      <c r="C671" s="2" t="s">
        <v>1962</v>
      </c>
      <c r="D671" s="2" t="s">
        <v>10</v>
      </c>
      <c r="E671" s="2" t="s">
        <v>218</v>
      </c>
      <c r="F671" s="2" t="s">
        <v>1963</v>
      </c>
      <c r="G671" s="2" t="s">
        <v>13</v>
      </c>
      <c r="H671" s="2" t="s">
        <v>14</v>
      </c>
    </row>
    <row r="672" customFormat="false" ht="22.35" hidden="false" customHeight="false" outlineLevel="0" collapsed="false">
      <c r="A672" s="2" t="n">
        <v>671</v>
      </c>
      <c r="B672" s="5" t="s">
        <v>1964</v>
      </c>
      <c r="C672" s="2" t="s">
        <v>1965</v>
      </c>
      <c r="D672" s="2" t="s">
        <v>10</v>
      </c>
      <c r="E672" s="2" t="s">
        <v>218</v>
      </c>
      <c r="F672" s="2" t="s">
        <v>1777</v>
      </c>
      <c r="G672" s="2" t="s">
        <v>13</v>
      </c>
      <c r="H672" s="2" t="s">
        <v>14</v>
      </c>
    </row>
    <row r="673" customFormat="false" ht="22.35" hidden="false" customHeight="false" outlineLevel="0" collapsed="false">
      <c r="A673" s="2" t="n">
        <v>672</v>
      </c>
      <c r="B673" s="5" t="s">
        <v>1966</v>
      </c>
      <c r="C673" s="2" t="s">
        <v>1967</v>
      </c>
      <c r="D673" s="2" t="s">
        <v>10</v>
      </c>
      <c r="E673" s="2" t="s">
        <v>1432</v>
      </c>
      <c r="F673" s="2" t="s">
        <v>1765</v>
      </c>
      <c r="G673" s="2" t="s">
        <v>13</v>
      </c>
      <c r="H673" s="2" t="s">
        <v>14</v>
      </c>
    </row>
    <row r="674" customFormat="false" ht="22.35" hidden="false" customHeight="false" outlineLevel="0" collapsed="false">
      <c r="A674" s="2" t="n">
        <v>673</v>
      </c>
      <c r="B674" s="5" t="s">
        <v>1968</v>
      </c>
      <c r="C674" s="2" t="s">
        <v>1969</v>
      </c>
      <c r="D674" s="2" t="s">
        <v>10</v>
      </c>
      <c r="E674" s="2" t="s">
        <v>1432</v>
      </c>
      <c r="F674" s="2" t="s">
        <v>1970</v>
      </c>
      <c r="G674" s="2" t="s">
        <v>13</v>
      </c>
      <c r="H674" s="2" t="s">
        <v>417</v>
      </c>
    </row>
    <row r="675" customFormat="false" ht="22.35" hidden="false" customHeight="false" outlineLevel="0" collapsed="false">
      <c r="A675" s="2" t="n">
        <v>674</v>
      </c>
      <c r="B675" s="5" t="s">
        <v>1971</v>
      </c>
      <c r="C675" s="2" t="s">
        <v>1972</v>
      </c>
      <c r="D675" s="2" t="s">
        <v>10</v>
      </c>
      <c r="E675" s="2" t="s">
        <v>1432</v>
      </c>
      <c r="F675" s="2" t="s">
        <v>294</v>
      </c>
      <c r="G675" s="2" t="s">
        <v>13</v>
      </c>
      <c r="H675" s="2" t="s">
        <v>14</v>
      </c>
    </row>
    <row r="676" customFormat="false" ht="22.35" hidden="false" customHeight="false" outlineLevel="0" collapsed="false">
      <c r="A676" s="2" t="n">
        <v>675</v>
      </c>
      <c r="B676" s="3" t="s">
        <v>1973</v>
      </c>
      <c r="C676" s="2" t="s">
        <v>1974</v>
      </c>
      <c r="D676" s="2" t="s">
        <v>10</v>
      </c>
      <c r="E676" s="2" t="s">
        <v>1432</v>
      </c>
      <c r="F676" s="4" t="s">
        <v>1405</v>
      </c>
      <c r="G676" s="2" t="s">
        <v>13</v>
      </c>
      <c r="H676" s="2" t="s">
        <v>417</v>
      </c>
    </row>
    <row r="677" customFormat="false" ht="22.35" hidden="false" customHeight="false" outlineLevel="0" collapsed="false">
      <c r="A677" s="2" t="n">
        <v>676</v>
      </c>
      <c r="B677" s="3" t="s">
        <v>1975</v>
      </c>
      <c r="C677" s="2" t="s">
        <v>1976</v>
      </c>
      <c r="D677" s="2" t="s">
        <v>10</v>
      </c>
      <c r="E677" s="2" t="s">
        <v>218</v>
      </c>
      <c r="F677" s="4" t="s">
        <v>214</v>
      </c>
      <c r="G677" s="2" t="s">
        <v>13</v>
      </c>
      <c r="H677" s="2" t="s">
        <v>14</v>
      </c>
    </row>
    <row r="678" customFormat="false" ht="22.35" hidden="false" customHeight="false" outlineLevel="0" collapsed="false">
      <c r="A678" s="2" t="n">
        <v>677</v>
      </c>
      <c r="B678" s="3" t="s">
        <v>1977</v>
      </c>
      <c r="C678" s="2" t="s">
        <v>1978</v>
      </c>
      <c r="D678" s="2" t="s">
        <v>10</v>
      </c>
      <c r="E678" s="2" t="s">
        <v>218</v>
      </c>
      <c r="F678" s="4" t="s">
        <v>145</v>
      </c>
      <c r="G678" s="2" t="s">
        <v>13</v>
      </c>
      <c r="H678" s="2" t="s">
        <v>417</v>
      </c>
    </row>
    <row r="679" customFormat="false" ht="22.35" hidden="false" customHeight="false" outlineLevel="0" collapsed="false">
      <c r="A679" s="2" t="n">
        <v>678</v>
      </c>
      <c r="B679" s="5" t="s">
        <v>1979</v>
      </c>
      <c r="C679" s="2" t="s">
        <v>1980</v>
      </c>
      <c r="D679" s="2" t="s">
        <v>10</v>
      </c>
      <c r="E679" s="2" t="s">
        <v>218</v>
      </c>
      <c r="F679" s="2" t="s">
        <v>1981</v>
      </c>
      <c r="G679" s="2" t="s">
        <v>13</v>
      </c>
      <c r="H679" s="2" t="s">
        <v>14</v>
      </c>
    </row>
    <row r="680" customFormat="false" ht="22.35" hidden="false" customHeight="false" outlineLevel="0" collapsed="false">
      <c r="A680" s="2" t="n">
        <v>679</v>
      </c>
      <c r="B680" s="5" t="s">
        <v>1982</v>
      </c>
      <c r="C680" s="2" t="s">
        <v>1983</v>
      </c>
      <c r="D680" s="2" t="s">
        <v>10</v>
      </c>
      <c r="E680" s="2" t="s">
        <v>218</v>
      </c>
      <c r="F680" s="2" t="s">
        <v>429</v>
      </c>
      <c r="G680" s="2" t="s">
        <v>13</v>
      </c>
      <c r="H680" s="2" t="s">
        <v>14</v>
      </c>
    </row>
    <row r="681" customFormat="false" ht="22.35" hidden="false" customHeight="false" outlineLevel="0" collapsed="false">
      <c r="A681" s="2" t="n">
        <v>680</v>
      </c>
      <c r="B681" s="5" t="s">
        <v>1984</v>
      </c>
      <c r="C681" s="2" t="s">
        <v>1985</v>
      </c>
      <c r="D681" s="2" t="s">
        <v>10</v>
      </c>
      <c r="E681" s="2" t="s">
        <v>218</v>
      </c>
      <c r="F681" s="2" t="s">
        <v>606</v>
      </c>
      <c r="G681" s="2" t="s">
        <v>13</v>
      </c>
      <c r="H681" s="2" t="s">
        <v>417</v>
      </c>
    </row>
    <row r="682" customFormat="false" ht="22.35" hidden="false" customHeight="false" outlineLevel="0" collapsed="false">
      <c r="A682" s="2" t="n">
        <v>681</v>
      </c>
      <c r="B682" s="5" t="s">
        <v>1986</v>
      </c>
      <c r="C682" s="2" t="s">
        <v>1987</v>
      </c>
      <c r="D682" s="2" t="s">
        <v>10</v>
      </c>
      <c r="E682" s="2" t="s">
        <v>218</v>
      </c>
      <c r="F682" s="2" t="s">
        <v>1387</v>
      </c>
      <c r="G682" s="2" t="s">
        <v>13</v>
      </c>
      <c r="H682" s="2" t="s">
        <v>417</v>
      </c>
    </row>
    <row r="683" customFormat="false" ht="15" hidden="false" customHeight="false" outlineLevel="0" collapsed="false">
      <c r="A683" s="2" t="n">
        <v>682</v>
      </c>
      <c r="B683" s="5" t="s">
        <v>1988</v>
      </c>
      <c r="C683" s="2" t="s">
        <v>1989</v>
      </c>
      <c r="D683" s="2" t="s">
        <v>10</v>
      </c>
      <c r="E683" s="2" t="s">
        <v>218</v>
      </c>
      <c r="F683" s="2" t="s">
        <v>1990</v>
      </c>
      <c r="G683" s="2" t="s">
        <v>13</v>
      </c>
      <c r="H683" s="2" t="s">
        <v>417</v>
      </c>
    </row>
    <row r="684" customFormat="false" ht="22.35" hidden="false" customHeight="false" outlineLevel="0" collapsed="false">
      <c r="A684" s="2" t="n">
        <v>683</v>
      </c>
      <c r="B684" s="5" t="s">
        <v>1991</v>
      </c>
      <c r="C684" s="2" t="s">
        <v>1992</v>
      </c>
      <c r="D684" s="2" t="s">
        <v>10</v>
      </c>
      <c r="E684" s="2" t="s">
        <v>1993</v>
      </c>
      <c r="F684" s="2" t="s">
        <v>1994</v>
      </c>
      <c r="G684" s="2" t="s">
        <v>13</v>
      </c>
      <c r="H684" s="2" t="s">
        <v>417</v>
      </c>
    </row>
    <row r="685" customFormat="false" ht="22.35" hidden="false" customHeight="false" outlineLevel="0" collapsed="false">
      <c r="A685" s="2" t="n">
        <v>684</v>
      </c>
      <c r="B685" s="5" t="s">
        <v>1995</v>
      </c>
      <c r="C685" s="2" t="s">
        <v>1996</v>
      </c>
      <c r="D685" s="2" t="s">
        <v>10</v>
      </c>
      <c r="E685" s="2" t="s">
        <v>218</v>
      </c>
      <c r="F685" s="2" t="s">
        <v>186</v>
      </c>
      <c r="G685" s="2" t="s">
        <v>13</v>
      </c>
      <c r="H685" s="2" t="s">
        <v>14</v>
      </c>
    </row>
    <row r="686" customFormat="false" ht="22.35" hidden="false" customHeight="false" outlineLevel="0" collapsed="false">
      <c r="A686" s="2" t="n">
        <v>685</v>
      </c>
      <c r="B686" s="5" t="s">
        <v>1997</v>
      </c>
      <c r="C686" s="2" t="s">
        <v>1998</v>
      </c>
      <c r="D686" s="2" t="s">
        <v>10</v>
      </c>
      <c r="E686" s="2" t="s">
        <v>218</v>
      </c>
      <c r="F686" s="2" t="s">
        <v>1999</v>
      </c>
      <c r="G686" s="2" t="s">
        <v>13</v>
      </c>
      <c r="H686" s="2" t="s">
        <v>14</v>
      </c>
    </row>
    <row r="687" customFormat="false" ht="22.35" hidden="false" customHeight="false" outlineLevel="0" collapsed="false">
      <c r="A687" s="2" t="n">
        <v>686</v>
      </c>
      <c r="B687" s="5" t="s">
        <v>2000</v>
      </c>
      <c r="C687" s="2" t="s">
        <v>2001</v>
      </c>
      <c r="D687" s="2" t="s">
        <v>10</v>
      </c>
      <c r="E687" s="2" t="s">
        <v>218</v>
      </c>
      <c r="F687" s="2" t="s">
        <v>2002</v>
      </c>
      <c r="G687" s="2" t="s">
        <v>13</v>
      </c>
      <c r="H687" s="2" t="s">
        <v>14</v>
      </c>
    </row>
    <row r="688" customFormat="false" ht="15" hidden="false" customHeight="false" outlineLevel="0" collapsed="false">
      <c r="A688" s="2" t="n">
        <v>687</v>
      </c>
      <c r="B688" s="5" t="s">
        <v>2003</v>
      </c>
      <c r="C688" s="2" t="s">
        <v>2004</v>
      </c>
      <c r="D688" s="2" t="s">
        <v>10</v>
      </c>
      <c r="E688" s="2" t="s">
        <v>218</v>
      </c>
      <c r="F688" s="2" t="s">
        <v>2005</v>
      </c>
      <c r="G688" s="2" t="s">
        <v>13</v>
      </c>
      <c r="H688" s="2" t="s">
        <v>14</v>
      </c>
    </row>
    <row r="689" customFormat="false" ht="15" hidden="false" customHeight="false" outlineLevel="0" collapsed="false">
      <c r="A689" s="2" t="n">
        <v>688</v>
      </c>
      <c r="B689" s="5" t="s">
        <v>2006</v>
      </c>
      <c r="C689" s="2" t="s">
        <v>2007</v>
      </c>
      <c r="D689" s="2" t="s">
        <v>10</v>
      </c>
      <c r="E689" s="2" t="s">
        <v>218</v>
      </c>
      <c r="F689" s="2" t="s">
        <v>98</v>
      </c>
      <c r="G689" s="2" t="s">
        <v>13</v>
      </c>
      <c r="H689" s="2" t="s">
        <v>14</v>
      </c>
    </row>
    <row r="690" customFormat="false" ht="22.35" hidden="false" customHeight="false" outlineLevel="0" collapsed="false">
      <c r="A690" s="2" t="n">
        <v>689</v>
      </c>
      <c r="B690" s="5" t="s">
        <v>2008</v>
      </c>
      <c r="C690" s="2" t="s">
        <v>2009</v>
      </c>
      <c r="D690" s="2" t="s">
        <v>10</v>
      </c>
      <c r="E690" s="2" t="s">
        <v>218</v>
      </c>
      <c r="F690" s="2" t="s">
        <v>2010</v>
      </c>
      <c r="G690" s="2" t="s">
        <v>13</v>
      </c>
      <c r="H690" s="2" t="s">
        <v>14</v>
      </c>
    </row>
    <row r="691" customFormat="false" ht="32.8" hidden="false" customHeight="false" outlineLevel="0" collapsed="false">
      <c r="A691" s="2" t="n">
        <v>690</v>
      </c>
      <c r="B691" s="5" t="s">
        <v>2011</v>
      </c>
      <c r="C691" s="2" t="s">
        <v>2012</v>
      </c>
      <c r="D691" s="2" t="s">
        <v>10</v>
      </c>
      <c r="E691" s="2" t="s">
        <v>218</v>
      </c>
      <c r="F691" s="2" t="s">
        <v>2013</v>
      </c>
      <c r="G691" s="2" t="s">
        <v>13</v>
      </c>
      <c r="H691" s="2" t="s">
        <v>417</v>
      </c>
    </row>
    <row r="692" customFormat="false" ht="22.35" hidden="false" customHeight="false" outlineLevel="0" collapsed="false">
      <c r="A692" s="2" t="n">
        <v>691</v>
      </c>
      <c r="B692" s="5" t="s">
        <v>2014</v>
      </c>
      <c r="C692" s="2" t="s">
        <v>2015</v>
      </c>
      <c r="D692" s="2" t="s">
        <v>10</v>
      </c>
      <c r="E692" s="2" t="s">
        <v>218</v>
      </c>
      <c r="F692" s="2" t="s">
        <v>2016</v>
      </c>
      <c r="G692" s="2" t="s">
        <v>28</v>
      </c>
      <c r="H692" s="2" t="s">
        <v>417</v>
      </c>
    </row>
    <row r="693" customFormat="false" ht="22.35" hidden="false" customHeight="false" outlineLevel="0" collapsed="false">
      <c r="A693" s="2" t="n">
        <v>692</v>
      </c>
      <c r="B693" s="3" t="s">
        <v>2017</v>
      </c>
      <c r="C693" s="2" t="s">
        <v>2018</v>
      </c>
      <c r="D693" s="2" t="s">
        <v>10</v>
      </c>
      <c r="E693" s="2" t="s">
        <v>218</v>
      </c>
      <c r="F693" s="4" t="s">
        <v>2019</v>
      </c>
      <c r="G693" s="2" t="s">
        <v>13</v>
      </c>
      <c r="H693" s="2" t="s">
        <v>14</v>
      </c>
    </row>
    <row r="694" customFormat="false" ht="22.35" hidden="false" customHeight="false" outlineLevel="0" collapsed="false">
      <c r="A694" s="2" t="n">
        <v>693</v>
      </c>
      <c r="B694" s="5" t="s">
        <v>2020</v>
      </c>
      <c r="C694" s="2" t="s">
        <v>2021</v>
      </c>
      <c r="D694" s="2" t="s">
        <v>10</v>
      </c>
      <c r="E694" s="2" t="s">
        <v>218</v>
      </c>
      <c r="F694" s="2" t="s">
        <v>2022</v>
      </c>
      <c r="G694" s="2" t="s">
        <v>13</v>
      </c>
      <c r="H694" s="2" t="s">
        <v>14</v>
      </c>
    </row>
    <row r="695" customFormat="false" ht="22.35" hidden="false" customHeight="false" outlineLevel="0" collapsed="false">
      <c r="A695" s="2" t="n">
        <v>694</v>
      </c>
      <c r="B695" s="5" t="s">
        <v>2023</v>
      </c>
      <c r="C695" s="2" t="s">
        <v>2024</v>
      </c>
      <c r="D695" s="2" t="s">
        <v>10</v>
      </c>
      <c r="E695" s="2" t="s">
        <v>218</v>
      </c>
      <c r="F695" s="2" t="s">
        <v>2025</v>
      </c>
      <c r="G695" s="2" t="s">
        <v>13</v>
      </c>
      <c r="H695" s="2" t="s">
        <v>417</v>
      </c>
    </row>
    <row r="696" customFormat="false" ht="22.35" hidden="false" customHeight="false" outlineLevel="0" collapsed="false">
      <c r="A696" s="2" t="n">
        <v>695</v>
      </c>
      <c r="B696" s="5" t="s">
        <v>2026</v>
      </c>
      <c r="C696" s="2" t="s">
        <v>2027</v>
      </c>
      <c r="D696" s="2" t="s">
        <v>10</v>
      </c>
      <c r="E696" s="2" t="s">
        <v>218</v>
      </c>
      <c r="F696" s="2" t="s">
        <v>2028</v>
      </c>
      <c r="G696" s="2" t="s">
        <v>13</v>
      </c>
      <c r="H696" s="2" t="s">
        <v>417</v>
      </c>
    </row>
    <row r="697" customFormat="false" ht="22.35" hidden="false" customHeight="false" outlineLevel="0" collapsed="false">
      <c r="A697" s="2" t="n">
        <v>696</v>
      </c>
      <c r="B697" s="3" t="s">
        <v>2029</v>
      </c>
      <c r="C697" s="2" t="s">
        <v>2030</v>
      </c>
      <c r="D697" s="2" t="s">
        <v>10</v>
      </c>
      <c r="E697" s="2" t="s">
        <v>218</v>
      </c>
      <c r="F697" s="4" t="s">
        <v>2031</v>
      </c>
      <c r="G697" s="2" t="s">
        <v>13</v>
      </c>
      <c r="H697" s="2" t="s">
        <v>417</v>
      </c>
    </row>
    <row r="698" customFormat="false" ht="22.35" hidden="false" customHeight="false" outlineLevel="0" collapsed="false">
      <c r="A698" s="2" t="n">
        <v>697</v>
      </c>
      <c r="B698" s="5" t="s">
        <v>2032</v>
      </c>
      <c r="C698" s="2" t="s">
        <v>2033</v>
      </c>
      <c r="D698" s="2" t="s">
        <v>10</v>
      </c>
      <c r="E698" s="2" t="s">
        <v>218</v>
      </c>
      <c r="F698" s="2" t="s">
        <v>117</v>
      </c>
      <c r="G698" s="2" t="s">
        <v>13</v>
      </c>
      <c r="H698" s="2" t="s">
        <v>14</v>
      </c>
    </row>
    <row r="699" customFormat="false" ht="22.35" hidden="false" customHeight="false" outlineLevel="0" collapsed="false">
      <c r="A699" s="2" t="n">
        <v>698</v>
      </c>
      <c r="B699" s="5" t="s">
        <v>2034</v>
      </c>
      <c r="C699" s="2" t="s">
        <v>2035</v>
      </c>
      <c r="D699" s="2" t="s">
        <v>10</v>
      </c>
      <c r="E699" s="2" t="s">
        <v>1828</v>
      </c>
      <c r="F699" s="2" t="s">
        <v>2036</v>
      </c>
      <c r="G699" s="2" t="s">
        <v>13</v>
      </c>
      <c r="H699" s="2" t="s">
        <v>417</v>
      </c>
    </row>
    <row r="700" customFormat="false" ht="22.35" hidden="false" customHeight="false" outlineLevel="0" collapsed="false">
      <c r="A700" s="2" t="n">
        <v>699</v>
      </c>
      <c r="B700" s="5" t="s">
        <v>2037</v>
      </c>
      <c r="C700" s="2" t="s">
        <v>2038</v>
      </c>
      <c r="D700" s="2" t="s">
        <v>10</v>
      </c>
      <c r="E700" s="2" t="s">
        <v>1448</v>
      </c>
      <c r="F700" s="2" t="s">
        <v>780</v>
      </c>
      <c r="G700" s="2" t="s">
        <v>13</v>
      </c>
      <c r="H700" s="2" t="s">
        <v>417</v>
      </c>
    </row>
    <row r="701" customFormat="false" ht="15" hidden="false" customHeight="false" outlineLevel="0" collapsed="false">
      <c r="A701" s="2" t="n">
        <v>700</v>
      </c>
      <c r="B701" s="5" t="s">
        <v>2039</v>
      </c>
      <c r="C701" s="2" t="s">
        <v>2040</v>
      </c>
      <c r="D701" s="2" t="s">
        <v>10</v>
      </c>
      <c r="E701" s="2" t="s">
        <v>218</v>
      </c>
      <c r="F701" s="2" t="s">
        <v>788</v>
      </c>
      <c r="G701" s="2" t="s">
        <v>13</v>
      </c>
      <c r="H701" s="2" t="s">
        <v>417</v>
      </c>
    </row>
    <row r="702" customFormat="false" ht="22.35" hidden="false" customHeight="false" outlineLevel="0" collapsed="false">
      <c r="A702" s="2" t="n">
        <v>701</v>
      </c>
      <c r="B702" s="5" t="s">
        <v>2041</v>
      </c>
      <c r="C702" s="2" t="s">
        <v>2042</v>
      </c>
      <c r="D702" s="2" t="s">
        <v>10</v>
      </c>
      <c r="E702" s="2" t="s">
        <v>218</v>
      </c>
      <c r="F702" s="2" t="s">
        <v>2043</v>
      </c>
      <c r="G702" s="2" t="s">
        <v>13</v>
      </c>
      <c r="H702" s="2" t="s">
        <v>14</v>
      </c>
    </row>
    <row r="703" customFormat="false" ht="15" hidden="false" customHeight="false" outlineLevel="0" collapsed="false">
      <c r="A703" s="2" t="n">
        <v>702</v>
      </c>
      <c r="B703" s="5" t="s">
        <v>2044</v>
      </c>
      <c r="C703" s="2" t="s">
        <v>2045</v>
      </c>
      <c r="D703" s="2" t="s">
        <v>10</v>
      </c>
      <c r="E703" s="2" t="s">
        <v>218</v>
      </c>
      <c r="F703" s="2" t="s">
        <v>2046</v>
      </c>
      <c r="G703" s="2" t="s">
        <v>13</v>
      </c>
      <c r="H703" s="2" t="s">
        <v>14</v>
      </c>
    </row>
    <row r="704" customFormat="false" ht="22.35" hidden="false" customHeight="false" outlineLevel="0" collapsed="false">
      <c r="A704" s="2" t="n">
        <v>703</v>
      </c>
      <c r="B704" s="5" t="s">
        <v>2047</v>
      </c>
      <c r="C704" s="2" t="s">
        <v>2048</v>
      </c>
      <c r="D704" s="2" t="s">
        <v>2049</v>
      </c>
      <c r="E704" s="2" t="s">
        <v>2050</v>
      </c>
      <c r="F704" s="2" t="s">
        <v>2051</v>
      </c>
      <c r="G704" s="2" t="s">
        <v>13</v>
      </c>
      <c r="H704" s="2" t="s">
        <v>417</v>
      </c>
    </row>
    <row r="705" customFormat="false" ht="22.35" hidden="false" customHeight="false" outlineLevel="0" collapsed="false">
      <c r="A705" s="2" t="n">
        <v>704</v>
      </c>
      <c r="B705" s="5" t="s">
        <v>2052</v>
      </c>
      <c r="C705" s="2" t="s">
        <v>2053</v>
      </c>
      <c r="D705" s="2" t="s">
        <v>2049</v>
      </c>
      <c r="E705" s="2" t="s">
        <v>1342</v>
      </c>
      <c r="F705" s="2" t="s">
        <v>294</v>
      </c>
      <c r="G705" s="2" t="s">
        <v>13</v>
      </c>
      <c r="H705" s="2" t="s">
        <v>417</v>
      </c>
    </row>
    <row r="706" customFormat="false" ht="15" hidden="false" customHeight="false" outlineLevel="0" collapsed="false">
      <c r="A706" s="2" t="n">
        <v>705</v>
      </c>
      <c r="B706" s="5" t="s">
        <v>2054</v>
      </c>
      <c r="C706" s="2" t="s">
        <v>2055</v>
      </c>
      <c r="D706" s="2" t="s">
        <v>10</v>
      </c>
      <c r="E706" s="2" t="s">
        <v>2056</v>
      </c>
      <c r="F706" s="2" t="s">
        <v>191</v>
      </c>
      <c r="G706" s="2" t="s">
        <v>13</v>
      </c>
      <c r="H706" s="2" t="s">
        <v>417</v>
      </c>
    </row>
    <row r="707" customFormat="false" ht="22.35" hidden="false" customHeight="false" outlineLevel="0" collapsed="false">
      <c r="A707" s="2" t="n">
        <v>706</v>
      </c>
      <c r="B707" s="5" t="s">
        <v>2057</v>
      </c>
      <c r="C707" s="2" t="s">
        <v>2058</v>
      </c>
      <c r="D707" s="2" t="s">
        <v>2059</v>
      </c>
      <c r="E707" s="2" t="s">
        <v>65</v>
      </c>
      <c r="F707" s="2" t="s">
        <v>693</v>
      </c>
      <c r="G707" s="2" t="s">
        <v>13</v>
      </c>
      <c r="H707" s="2" t="s">
        <v>14</v>
      </c>
    </row>
    <row r="708" customFormat="false" ht="22.35" hidden="false" customHeight="false" outlineLevel="0" collapsed="false">
      <c r="A708" s="2" t="n">
        <v>707</v>
      </c>
      <c r="B708" s="3" t="s">
        <v>2060</v>
      </c>
      <c r="C708" s="2" t="s">
        <v>2061</v>
      </c>
      <c r="D708" s="2" t="s">
        <v>10</v>
      </c>
      <c r="E708" s="2" t="s">
        <v>2062</v>
      </c>
      <c r="F708" s="4" t="s">
        <v>214</v>
      </c>
      <c r="G708" s="2" t="s">
        <v>13</v>
      </c>
      <c r="H708" s="2" t="s">
        <v>14</v>
      </c>
    </row>
    <row r="709" customFormat="false" ht="22.35" hidden="false" customHeight="false" outlineLevel="0" collapsed="false">
      <c r="A709" s="2" t="n">
        <v>708</v>
      </c>
      <c r="B709" s="5" t="s">
        <v>2063</v>
      </c>
      <c r="C709" s="2" t="s">
        <v>2064</v>
      </c>
      <c r="D709" s="2" t="s">
        <v>2059</v>
      </c>
      <c r="E709" s="2" t="s">
        <v>2065</v>
      </c>
      <c r="F709" s="2" t="s">
        <v>2066</v>
      </c>
      <c r="G709" s="2" t="s">
        <v>13</v>
      </c>
      <c r="H709" s="2" t="s">
        <v>14</v>
      </c>
    </row>
    <row r="710" customFormat="false" ht="22.35" hidden="false" customHeight="false" outlineLevel="0" collapsed="false">
      <c r="A710" s="2" t="n">
        <v>709</v>
      </c>
      <c r="B710" s="3" t="s">
        <v>2067</v>
      </c>
      <c r="C710" s="2" t="s">
        <v>2068</v>
      </c>
      <c r="D710" s="2" t="s">
        <v>2069</v>
      </c>
      <c r="E710" s="2" t="s">
        <v>2070</v>
      </c>
      <c r="F710" s="4" t="s">
        <v>2071</v>
      </c>
      <c r="G710" s="2" t="s">
        <v>13</v>
      </c>
      <c r="H710" s="2" t="s">
        <v>14</v>
      </c>
    </row>
    <row r="711" customFormat="false" ht="22.35" hidden="false" customHeight="false" outlineLevel="0" collapsed="false">
      <c r="A711" s="2" t="n">
        <v>710</v>
      </c>
      <c r="B711" s="5" t="s">
        <v>2072</v>
      </c>
      <c r="C711" s="2" t="s">
        <v>2073</v>
      </c>
      <c r="D711" s="2" t="s">
        <v>2074</v>
      </c>
      <c r="E711" s="2" t="s">
        <v>2070</v>
      </c>
      <c r="F711" s="2" t="s">
        <v>27</v>
      </c>
      <c r="G711" s="2" t="s">
        <v>13</v>
      </c>
      <c r="H711" s="2" t="s">
        <v>14</v>
      </c>
    </row>
    <row r="712" customFormat="false" ht="22.35" hidden="false" customHeight="false" outlineLevel="0" collapsed="false">
      <c r="A712" s="2" t="n">
        <v>711</v>
      </c>
      <c r="B712" s="3" t="s">
        <v>2075</v>
      </c>
      <c r="C712" s="2" t="s">
        <v>2076</v>
      </c>
      <c r="D712" s="2" t="s">
        <v>2074</v>
      </c>
      <c r="E712" s="2" t="s">
        <v>2077</v>
      </c>
      <c r="F712" s="4" t="s">
        <v>2078</v>
      </c>
      <c r="G712" s="2" t="s">
        <v>13</v>
      </c>
      <c r="H712" s="2" t="s">
        <v>14</v>
      </c>
    </row>
    <row r="713" customFormat="false" ht="22.35" hidden="false" customHeight="false" outlineLevel="0" collapsed="false">
      <c r="A713" s="2" t="n">
        <v>712</v>
      </c>
      <c r="B713" s="5" t="s">
        <v>2079</v>
      </c>
      <c r="C713" s="2" t="s">
        <v>2080</v>
      </c>
      <c r="D713" s="2" t="s">
        <v>2074</v>
      </c>
      <c r="E713" s="2" t="s">
        <v>2081</v>
      </c>
      <c r="F713" s="2" t="s">
        <v>2082</v>
      </c>
      <c r="G713" s="2" t="s">
        <v>13</v>
      </c>
      <c r="H713" s="2" t="s">
        <v>14</v>
      </c>
    </row>
    <row r="714" customFormat="false" ht="15" hidden="false" customHeight="false" outlineLevel="0" collapsed="false">
      <c r="A714" s="2" t="n">
        <v>713</v>
      </c>
      <c r="B714" s="3" t="s">
        <v>2083</v>
      </c>
      <c r="C714" s="2" t="s">
        <v>2084</v>
      </c>
      <c r="D714" s="2" t="s">
        <v>2074</v>
      </c>
      <c r="E714" s="2" t="s">
        <v>2085</v>
      </c>
      <c r="F714" s="4" t="s">
        <v>2086</v>
      </c>
      <c r="G714" s="2" t="s">
        <v>13</v>
      </c>
      <c r="H714" s="2" t="s">
        <v>14</v>
      </c>
    </row>
    <row r="715" customFormat="false" ht="22.35" hidden="false" customHeight="false" outlineLevel="0" collapsed="false">
      <c r="A715" s="2" t="n">
        <v>714</v>
      </c>
      <c r="B715" s="5" t="s">
        <v>2087</v>
      </c>
      <c r="C715" s="2" t="s">
        <v>2088</v>
      </c>
      <c r="D715" s="2" t="s">
        <v>10</v>
      </c>
      <c r="E715" s="2" t="s">
        <v>2089</v>
      </c>
      <c r="F715" s="2" t="s">
        <v>2090</v>
      </c>
      <c r="G715" s="2" t="s">
        <v>13</v>
      </c>
      <c r="H715" s="2" t="s">
        <v>14</v>
      </c>
    </row>
    <row r="716" customFormat="false" ht="22.35" hidden="false" customHeight="false" outlineLevel="0" collapsed="false">
      <c r="A716" s="2" t="n">
        <v>715</v>
      </c>
      <c r="B716" s="5" t="s">
        <v>2091</v>
      </c>
      <c r="C716" s="2" t="s">
        <v>2092</v>
      </c>
      <c r="D716" s="2" t="s">
        <v>10</v>
      </c>
      <c r="E716" s="2" t="s">
        <v>218</v>
      </c>
      <c r="F716" s="2" t="s">
        <v>2093</v>
      </c>
      <c r="G716" s="2" t="s">
        <v>13</v>
      </c>
      <c r="H716" s="2" t="s">
        <v>14</v>
      </c>
    </row>
    <row r="717" customFormat="false" ht="22.35" hidden="false" customHeight="false" outlineLevel="0" collapsed="false">
      <c r="A717" s="2" t="n">
        <v>716</v>
      </c>
      <c r="B717" s="5" t="s">
        <v>2094</v>
      </c>
      <c r="C717" s="2" t="s">
        <v>2095</v>
      </c>
      <c r="D717" s="2" t="s">
        <v>10</v>
      </c>
      <c r="E717" s="2" t="s">
        <v>1828</v>
      </c>
      <c r="F717" s="2" t="s">
        <v>2096</v>
      </c>
      <c r="G717" s="2" t="s">
        <v>13</v>
      </c>
      <c r="H717" s="2" t="s">
        <v>14</v>
      </c>
    </row>
    <row r="718" customFormat="false" ht="22.35" hidden="false" customHeight="false" outlineLevel="0" collapsed="false">
      <c r="A718" s="2" t="n">
        <v>717</v>
      </c>
      <c r="B718" s="3" t="s">
        <v>2097</v>
      </c>
      <c r="C718" s="2" t="s">
        <v>2098</v>
      </c>
      <c r="D718" s="2" t="s">
        <v>2099</v>
      </c>
      <c r="E718" s="2" t="s">
        <v>218</v>
      </c>
      <c r="F718" s="4" t="s">
        <v>2100</v>
      </c>
      <c r="G718" s="2" t="s">
        <v>28</v>
      </c>
      <c r="H718" s="2" t="s">
        <v>14</v>
      </c>
    </row>
    <row r="719" customFormat="false" ht="22.35" hidden="false" customHeight="false" outlineLevel="0" collapsed="false">
      <c r="A719" s="2" t="n">
        <v>718</v>
      </c>
      <c r="B719" s="5" t="s">
        <v>2101</v>
      </c>
      <c r="C719" s="2" t="s">
        <v>2102</v>
      </c>
      <c r="D719" s="2" t="s">
        <v>10</v>
      </c>
      <c r="E719" s="2" t="s">
        <v>218</v>
      </c>
      <c r="F719" s="2" t="s">
        <v>35</v>
      </c>
      <c r="G719" s="2" t="s">
        <v>13</v>
      </c>
      <c r="H719" s="2" t="s">
        <v>14</v>
      </c>
    </row>
    <row r="720" customFormat="false" ht="22.35" hidden="false" customHeight="false" outlineLevel="0" collapsed="false">
      <c r="A720" s="2" t="n">
        <v>719</v>
      </c>
      <c r="B720" s="3" t="s">
        <v>2103</v>
      </c>
      <c r="C720" s="2" t="s">
        <v>2104</v>
      </c>
      <c r="D720" s="2" t="s">
        <v>10</v>
      </c>
      <c r="E720" s="2" t="s">
        <v>1492</v>
      </c>
      <c r="F720" s="4" t="s">
        <v>800</v>
      </c>
      <c r="G720" s="2" t="s">
        <v>13</v>
      </c>
      <c r="H720" s="2" t="s">
        <v>14</v>
      </c>
    </row>
    <row r="721" customFormat="false" ht="15" hidden="false" customHeight="false" outlineLevel="0" collapsed="false">
      <c r="A721" s="2" t="n">
        <v>720</v>
      </c>
      <c r="B721" s="5" t="s">
        <v>2105</v>
      </c>
      <c r="C721" s="2" t="s">
        <v>2106</v>
      </c>
      <c r="D721" s="2" t="s">
        <v>10</v>
      </c>
      <c r="E721" s="2" t="s">
        <v>2107</v>
      </c>
      <c r="F721" s="2" t="s">
        <v>2108</v>
      </c>
      <c r="G721" s="2" t="s">
        <v>28</v>
      </c>
      <c r="H721" s="2" t="s">
        <v>14</v>
      </c>
    </row>
    <row r="722" customFormat="false" ht="22.35" hidden="false" customHeight="false" outlineLevel="0" collapsed="false">
      <c r="A722" s="2" t="n">
        <v>721</v>
      </c>
      <c r="B722" s="5" t="s">
        <v>2109</v>
      </c>
      <c r="C722" s="2" t="s">
        <v>2110</v>
      </c>
      <c r="D722" s="2" t="s">
        <v>2111</v>
      </c>
      <c r="E722" s="2" t="s">
        <v>971</v>
      </c>
      <c r="F722" s="2" t="s">
        <v>35</v>
      </c>
      <c r="G722" s="2" t="s">
        <v>28</v>
      </c>
      <c r="H722" s="2" t="s">
        <v>14</v>
      </c>
    </row>
    <row r="723" customFormat="false" ht="15" hidden="false" customHeight="false" outlineLevel="0" collapsed="false">
      <c r="A723" s="2" t="n">
        <v>722</v>
      </c>
      <c r="B723" s="5" t="s">
        <v>2112</v>
      </c>
      <c r="C723" s="2" t="s">
        <v>2113</v>
      </c>
      <c r="D723" s="2" t="s">
        <v>10</v>
      </c>
      <c r="E723" s="2" t="s">
        <v>218</v>
      </c>
      <c r="F723" s="2" t="s">
        <v>186</v>
      </c>
      <c r="G723" s="2" t="s">
        <v>13</v>
      </c>
      <c r="H723" s="2" t="s">
        <v>14</v>
      </c>
    </row>
    <row r="724" customFormat="false" ht="22.35" hidden="false" customHeight="false" outlineLevel="0" collapsed="false">
      <c r="A724" s="2" t="n">
        <v>723</v>
      </c>
      <c r="B724" s="5" t="s">
        <v>2114</v>
      </c>
      <c r="C724" s="2" t="s">
        <v>2115</v>
      </c>
      <c r="D724" s="2" t="s">
        <v>10</v>
      </c>
      <c r="E724" s="2" t="s">
        <v>218</v>
      </c>
      <c r="F724" s="2" t="s">
        <v>2116</v>
      </c>
      <c r="G724" s="2" t="s">
        <v>13</v>
      </c>
      <c r="H724" s="2" t="s">
        <v>14</v>
      </c>
    </row>
    <row r="725" customFormat="false" ht="22.35" hidden="false" customHeight="false" outlineLevel="0" collapsed="false">
      <c r="A725" s="2" t="n">
        <v>724</v>
      </c>
      <c r="B725" s="5" t="s">
        <v>2117</v>
      </c>
      <c r="C725" s="2" t="s">
        <v>2118</v>
      </c>
      <c r="D725" s="2" t="s">
        <v>10</v>
      </c>
      <c r="E725" s="2" t="s">
        <v>983</v>
      </c>
      <c r="F725" s="2" t="s">
        <v>2119</v>
      </c>
      <c r="G725" s="2" t="s">
        <v>13</v>
      </c>
      <c r="H725" s="2" t="s">
        <v>14</v>
      </c>
    </row>
    <row r="726" customFormat="false" ht="15" hidden="false" customHeight="false" outlineLevel="0" collapsed="false">
      <c r="A726" s="2" t="n">
        <v>725</v>
      </c>
      <c r="B726" s="3" t="s">
        <v>2120</v>
      </c>
      <c r="C726" s="2" t="s">
        <v>2121</v>
      </c>
      <c r="D726" s="2" t="s">
        <v>10</v>
      </c>
      <c r="E726" s="2" t="s">
        <v>1022</v>
      </c>
      <c r="F726" s="4" t="s">
        <v>1509</v>
      </c>
      <c r="G726" s="2" t="s">
        <v>28</v>
      </c>
      <c r="H726" s="2" t="s">
        <v>14</v>
      </c>
    </row>
    <row r="727" customFormat="false" ht="15" hidden="false" customHeight="false" outlineLevel="0" collapsed="false">
      <c r="A727" s="2" t="n">
        <v>726</v>
      </c>
      <c r="B727" s="5" t="s">
        <v>2122</v>
      </c>
      <c r="C727" s="2" t="s">
        <v>2123</v>
      </c>
      <c r="D727" s="2" t="s">
        <v>10</v>
      </c>
      <c r="E727" s="2" t="s">
        <v>218</v>
      </c>
      <c r="F727" s="2" t="s">
        <v>964</v>
      </c>
      <c r="G727" s="2" t="s">
        <v>13</v>
      </c>
      <c r="H727" s="2" t="s">
        <v>14</v>
      </c>
    </row>
    <row r="728" customFormat="false" ht="15" hidden="false" customHeight="false" outlineLevel="0" collapsed="false">
      <c r="A728" s="2" t="n">
        <v>727</v>
      </c>
      <c r="B728" s="5" t="s">
        <v>2124</v>
      </c>
      <c r="C728" s="2" t="s">
        <v>2125</v>
      </c>
      <c r="D728" s="2" t="s">
        <v>10</v>
      </c>
      <c r="E728" s="2" t="s">
        <v>218</v>
      </c>
      <c r="F728" s="2" t="s">
        <v>684</v>
      </c>
      <c r="G728" s="2" t="s">
        <v>28</v>
      </c>
      <c r="H728" s="2" t="s">
        <v>14</v>
      </c>
    </row>
    <row r="729" customFormat="false" ht="22.35" hidden="false" customHeight="false" outlineLevel="0" collapsed="false">
      <c r="A729" s="2" t="n">
        <v>728</v>
      </c>
      <c r="B729" s="5" t="s">
        <v>2126</v>
      </c>
      <c r="C729" s="2" t="s">
        <v>2127</v>
      </c>
      <c r="D729" s="2" t="s">
        <v>10</v>
      </c>
      <c r="E729" s="2" t="s">
        <v>2128</v>
      </c>
      <c r="F729" s="2" t="s">
        <v>2129</v>
      </c>
      <c r="G729" s="2" t="s">
        <v>13</v>
      </c>
      <c r="H729" s="2" t="s">
        <v>14</v>
      </c>
    </row>
    <row r="730" customFormat="false" ht="22.35" hidden="false" customHeight="false" outlineLevel="0" collapsed="false">
      <c r="A730" s="2" t="n">
        <v>729</v>
      </c>
      <c r="B730" s="5" t="s">
        <v>2130</v>
      </c>
      <c r="C730" s="2" t="s">
        <v>2131</v>
      </c>
      <c r="D730" s="2" t="s">
        <v>10</v>
      </c>
      <c r="E730" s="2" t="s">
        <v>218</v>
      </c>
      <c r="F730" s="2" t="s">
        <v>95</v>
      </c>
      <c r="G730" s="2" t="s">
        <v>13</v>
      </c>
      <c r="H730" s="2" t="s">
        <v>14</v>
      </c>
    </row>
    <row r="731" customFormat="false" ht="15" hidden="false" customHeight="false" outlineLevel="0" collapsed="false">
      <c r="A731" s="2" t="n">
        <v>730</v>
      </c>
      <c r="B731" s="5" t="s">
        <v>2132</v>
      </c>
      <c r="C731" s="2" t="s">
        <v>2133</v>
      </c>
      <c r="D731" s="2" t="s">
        <v>10</v>
      </c>
      <c r="E731" s="2" t="s">
        <v>2134</v>
      </c>
      <c r="F731" s="2" t="s">
        <v>1057</v>
      </c>
      <c r="G731" s="2" t="s">
        <v>13</v>
      </c>
      <c r="H731" s="2" t="s">
        <v>14</v>
      </c>
    </row>
    <row r="732" customFormat="false" ht="22.35" hidden="false" customHeight="false" outlineLevel="0" collapsed="false">
      <c r="A732" s="2" t="n">
        <v>731</v>
      </c>
      <c r="B732" s="5" t="s">
        <v>2135</v>
      </c>
      <c r="C732" s="2" t="s">
        <v>2136</v>
      </c>
      <c r="D732" s="2" t="s">
        <v>10</v>
      </c>
      <c r="E732" s="2" t="s">
        <v>2137</v>
      </c>
      <c r="F732" s="2" t="s">
        <v>2138</v>
      </c>
      <c r="G732" s="2" t="s">
        <v>13</v>
      </c>
      <c r="H732" s="2" t="s">
        <v>14</v>
      </c>
    </row>
    <row r="733" customFormat="false" ht="22.35" hidden="false" customHeight="false" outlineLevel="0" collapsed="false">
      <c r="A733" s="2" t="n">
        <v>732</v>
      </c>
      <c r="B733" s="5" t="s">
        <v>2139</v>
      </c>
      <c r="C733" s="2" t="s">
        <v>2140</v>
      </c>
      <c r="D733" s="2" t="s">
        <v>10</v>
      </c>
      <c r="E733" s="2" t="s">
        <v>1156</v>
      </c>
      <c r="F733" s="2" t="s">
        <v>693</v>
      </c>
      <c r="G733" s="2" t="s">
        <v>13</v>
      </c>
      <c r="H733" s="2" t="s">
        <v>14</v>
      </c>
    </row>
    <row r="734" customFormat="false" ht="15" hidden="false" customHeight="false" outlineLevel="0" collapsed="false">
      <c r="A734" s="2" t="n">
        <v>733</v>
      </c>
      <c r="B734" s="3" t="s">
        <v>2141</v>
      </c>
      <c r="C734" s="2" t="s">
        <v>2142</v>
      </c>
      <c r="D734" s="2" t="s">
        <v>2143</v>
      </c>
      <c r="E734" s="2" t="s">
        <v>2144</v>
      </c>
      <c r="F734" s="4" t="s">
        <v>1509</v>
      </c>
      <c r="G734" s="2" t="s">
        <v>13</v>
      </c>
      <c r="H734" s="2" t="s">
        <v>14</v>
      </c>
    </row>
    <row r="735" customFormat="false" ht="22.35" hidden="false" customHeight="false" outlineLevel="0" collapsed="false">
      <c r="A735" s="2" t="n">
        <v>734</v>
      </c>
      <c r="B735" s="5" t="s">
        <v>2145</v>
      </c>
      <c r="C735" s="2" t="s">
        <v>2146</v>
      </c>
      <c r="D735" s="2" t="s">
        <v>2147</v>
      </c>
      <c r="E735" s="2" t="s">
        <v>65</v>
      </c>
      <c r="F735" s="2" t="s">
        <v>2148</v>
      </c>
      <c r="G735" s="2" t="s">
        <v>13</v>
      </c>
      <c r="H735" s="2" t="s">
        <v>14</v>
      </c>
    </row>
    <row r="736" customFormat="false" ht="22.35" hidden="false" customHeight="false" outlineLevel="0" collapsed="false">
      <c r="A736" s="2" t="n">
        <v>735</v>
      </c>
      <c r="B736" s="3" t="s">
        <v>2149</v>
      </c>
      <c r="C736" s="2" t="s">
        <v>2150</v>
      </c>
      <c r="D736" s="2" t="s">
        <v>10</v>
      </c>
      <c r="E736" s="2" t="s">
        <v>218</v>
      </c>
      <c r="F736" s="4" t="s">
        <v>160</v>
      </c>
      <c r="G736" s="2" t="s">
        <v>13</v>
      </c>
      <c r="H736" s="2" t="s">
        <v>14</v>
      </c>
    </row>
    <row r="737" customFormat="false" ht="22.35" hidden="false" customHeight="false" outlineLevel="0" collapsed="false">
      <c r="A737" s="2" t="n">
        <v>736</v>
      </c>
      <c r="B737" s="3" t="s">
        <v>2151</v>
      </c>
      <c r="C737" s="2" t="s">
        <v>2152</v>
      </c>
      <c r="D737" s="2" t="s">
        <v>2147</v>
      </c>
      <c r="E737" s="2" t="s">
        <v>1432</v>
      </c>
      <c r="F737" s="4" t="s">
        <v>2153</v>
      </c>
      <c r="G737" s="2" t="s">
        <v>13</v>
      </c>
      <c r="H737" s="2" t="s">
        <v>14</v>
      </c>
    </row>
    <row r="738" customFormat="false" ht="22.35" hidden="false" customHeight="false" outlineLevel="0" collapsed="false">
      <c r="A738" s="2" t="n">
        <v>737</v>
      </c>
      <c r="B738" s="5" t="s">
        <v>2154</v>
      </c>
      <c r="C738" s="2" t="s">
        <v>2155</v>
      </c>
      <c r="D738" s="2" t="s">
        <v>2147</v>
      </c>
      <c r="E738" s="2" t="s">
        <v>2156</v>
      </c>
      <c r="F738" s="2" t="s">
        <v>1023</v>
      </c>
      <c r="G738" s="2" t="s">
        <v>13</v>
      </c>
      <c r="H738" s="2" t="s">
        <v>14</v>
      </c>
    </row>
    <row r="739" customFormat="false" ht="22.35" hidden="false" customHeight="false" outlineLevel="0" collapsed="false">
      <c r="A739" s="2" t="n">
        <v>738</v>
      </c>
      <c r="B739" s="5" t="s">
        <v>2157</v>
      </c>
      <c r="C739" s="2" t="s">
        <v>2158</v>
      </c>
      <c r="D739" s="2" t="s">
        <v>2147</v>
      </c>
      <c r="E739" s="2" t="s">
        <v>2159</v>
      </c>
      <c r="F739" s="2" t="s">
        <v>353</v>
      </c>
      <c r="G739" s="2" t="s">
        <v>13</v>
      </c>
      <c r="H739" s="2" t="s">
        <v>14</v>
      </c>
    </row>
    <row r="740" customFormat="false" ht="15" hidden="false" customHeight="false" outlineLevel="0" collapsed="false">
      <c r="A740" s="2" t="n">
        <v>739</v>
      </c>
      <c r="B740" s="5" t="s">
        <v>2160</v>
      </c>
      <c r="C740" s="2" t="s">
        <v>2161</v>
      </c>
      <c r="D740" s="2" t="s">
        <v>2162</v>
      </c>
      <c r="E740" s="2" t="s">
        <v>848</v>
      </c>
      <c r="F740" s="2" t="s">
        <v>826</v>
      </c>
      <c r="G740" s="2" t="s">
        <v>28</v>
      </c>
      <c r="H740" s="2" t="s">
        <v>14</v>
      </c>
    </row>
    <row r="741" customFormat="false" ht="22.35" hidden="false" customHeight="false" outlineLevel="0" collapsed="false">
      <c r="A741" s="2" t="n">
        <v>740</v>
      </c>
      <c r="B741" s="5" t="s">
        <v>2163</v>
      </c>
      <c r="C741" s="2" t="s">
        <v>2164</v>
      </c>
      <c r="D741" s="2" t="s">
        <v>10</v>
      </c>
      <c r="E741" s="2" t="s">
        <v>2165</v>
      </c>
      <c r="F741" s="2" t="s">
        <v>2166</v>
      </c>
      <c r="G741" s="2" t="s">
        <v>13</v>
      </c>
      <c r="H741" s="2" t="s">
        <v>14</v>
      </c>
    </row>
    <row r="742" customFormat="false" ht="15" hidden="false" customHeight="false" outlineLevel="0" collapsed="false">
      <c r="A742" s="2" t="n">
        <v>741</v>
      </c>
      <c r="B742" s="5" t="s">
        <v>2167</v>
      </c>
      <c r="C742" s="2" t="s">
        <v>2168</v>
      </c>
      <c r="D742" s="2" t="s">
        <v>10</v>
      </c>
      <c r="E742" s="2" t="s">
        <v>2169</v>
      </c>
      <c r="F742" s="2" t="s">
        <v>2170</v>
      </c>
      <c r="G742" s="2" t="s">
        <v>28</v>
      </c>
      <c r="H742" s="2" t="s">
        <v>14</v>
      </c>
    </row>
    <row r="743" customFormat="false" ht="22.35" hidden="false" customHeight="false" outlineLevel="0" collapsed="false">
      <c r="A743" s="2" t="n">
        <v>742</v>
      </c>
      <c r="B743" s="5" t="s">
        <v>2171</v>
      </c>
      <c r="C743" s="2" t="s">
        <v>2172</v>
      </c>
      <c r="D743" s="2" t="s">
        <v>10</v>
      </c>
      <c r="E743" s="2" t="s">
        <v>1056</v>
      </c>
      <c r="F743" s="2" t="s">
        <v>2173</v>
      </c>
      <c r="G743" s="2" t="s">
        <v>13</v>
      </c>
      <c r="H743" s="2" t="s">
        <v>14</v>
      </c>
    </row>
    <row r="744" customFormat="false" ht="22.35" hidden="false" customHeight="false" outlineLevel="0" collapsed="false">
      <c r="A744" s="2" t="n">
        <v>743</v>
      </c>
      <c r="B744" s="5" t="s">
        <v>2174</v>
      </c>
      <c r="C744" s="2" t="s">
        <v>2175</v>
      </c>
      <c r="D744" s="2" t="s">
        <v>2176</v>
      </c>
      <c r="E744" s="2" t="s">
        <v>937</v>
      </c>
      <c r="F744" s="2" t="s">
        <v>21</v>
      </c>
      <c r="G744" s="2" t="s">
        <v>28</v>
      </c>
      <c r="H744" s="2" t="s">
        <v>14</v>
      </c>
    </row>
    <row r="745" customFormat="false" ht="22.35" hidden="false" customHeight="false" outlineLevel="0" collapsed="false">
      <c r="A745" s="2" t="n">
        <v>744</v>
      </c>
      <c r="B745" s="5" t="s">
        <v>2177</v>
      </c>
      <c r="C745" s="2" t="s">
        <v>2178</v>
      </c>
      <c r="D745" s="2" t="s">
        <v>10</v>
      </c>
      <c r="E745" s="2" t="s">
        <v>2179</v>
      </c>
      <c r="F745" s="2" t="s">
        <v>1353</v>
      </c>
      <c r="G745" s="2" t="s">
        <v>13</v>
      </c>
      <c r="H745" s="2" t="s">
        <v>14</v>
      </c>
    </row>
    <row r="746" customFormat="false" ht="22.35" hidden="false" customHeight="false" outlineLevel="0" collapsed="false">
      <c r="A746" s="2" t="n">
        <v>745</v>
      </c>
      <c r="B746" s="5" t="s">
        <v>2180</v>
      </c>
      <c r="C746" s="2" t="s">
        <v>2181</v>
      </c>
      <c r="D746" s="2" t="s">
        <v>10</v>
      </c>
      <c r="E746" s="2" t="s">
        <v>1156</v>
      </c>
      <c r="F746" s="2" t="s">
        <v>1045</v>
      </c>
      <c r="G746" s="2" t="s">
        <v>13</v>
      </c>
      <c r="H746" s="2" t="s">
        <v>14</v>
      </c>
    </row>
    <row r="747" customFormat="false" ht="32.8" hidden="false" customHeight="false" outlineLevel="0" collapsed="false">
      <c r="A747" s="2" t="n">
        <v>746</v>
      </c>
      <c r="B747" s="3" t="s">
        <v>2182</v>
      </c>
      <c r="C747" s="2" t="s">
        <v>2183</v>
      </c>
      <c r="D747" s="2" t="s">
        <v>10</v>
      </c>
      <c r="E747" s="2" t="s">
        <v>2184</v>
      </c>
      <c r="F747" s="4" t="s">
        <v>2185</v>
      </c>
      <c r="G747" s="2" t="s">
        <v>13</v>
      </c>
      <c r="H747" s="2" t="s">
        <v>14</v>
      </c>
    </row>
    <row r="748" customFormat="false" ht="22.35" hidden="false" customHeight="false" outlineLevel="0" collapsed="false">
      <c r="A748" s="2" t="n">
        <v>747</v>
      </c>
      <c r="B748" s="5" t="s">
        <v>2186</v>
      </c>
      <c r="C748" s="2" t="s">
        <v>2187</v>
      </c>
      <c r="D748" s="2" t="s">
        <v>10</v>
      </c>
      <c r="E748" s="2" t="s">
        <v>218</v>
      </c>
      <c r="F748" s="2" t="s">
        <v>2188</v>
      </c>
      <c r="G748" s="2" t="s">
        <v>13</v>
      </c>
      <c r="H748" s="2" t="s">
        <v>14</v>
      </c>
    </row>
    <row r="749" customFormat="false" ht="15" hidden="false" customHeight="false" outlineLevel="0" collapsed="false">
      <c r="A749" s="2" t="n">
        <v>748</v>
      </c>
      <c r="B749" s="5" t="s">
        <v>2189</v>
      </c>
      <c r="C749" s="2" t="s">
        <v>2190</v>
      </c>
      <c r="D749" s="2" t="s">
        <v>10</v>
      </c>
      <c r="E749" s="2" t="s">
        <v>2191</v>
      </c>
      <c r="F749" s="2" t="s">
        <v>191</v>
      </c>
      <c r="G749" s="2" t="s">
        <v>13</v>
      </c>
      <c r="H749" s="2" t="s">
        <v>14</v>
      </c>
    </row>
    <row r="750" customFormat="false" ht="15" hidden="false" customHeight="false" outlineLevel="0" collapsed="false">
      <c r="A750" s="2" t="n">
        <v>749</v>
      </c>
      <c r="B750" s="5" t="s">
        <v>2192</v>
      </c>
      <c r="C750" s="2" t="s">
        <v>2193</v>
      </c>
      <c r="D750" s="2" t="s">
        <v>10</v>
      </c>
      <c r="E750" s="2" t="s">
        <v>2194</v>
      </c>
      <c r="F750" s="2" t="s">
        <v>2195</v>
      </c>
      <c r="G750" s="2" t="s">
        <v>13</v>
      </c>
      <c r="H750" s="2" t="s">
        <v>14</v>
      </c>
    </row>
    <row r="751" customFormat="false" ht="22.35" hidden="false" customHeight="false" outlineLevel="0" collapsed="false">
      <c r="A751" s="2" t="n">
        <v>750</v>
      </c>
      <c r="B751" s="3" t="s">
        <v>2196</v>
      </c>
      <c r="C751" s="2" t="s">
        <v>2197</v>
      </c>
      <c r="D751" s="2" t="s">
        <v>10</v>
      </c>
      <c r="E751" s="2" t="s">
        <v>2198</v>
      </c>
      <c r="F751" s="4" t="s">
        <v>2199</v>
      </c>
      <c r="G751" s="2" t="s">
        <v>13</v>
      </c>
      <c r="H751" s="2" t="s">
        <v>14</v>
      </c>
    </row>
    <row r="752" customFormat="false" ht="22.35" hidden="false" customHeight="false" outlineLevel="0" collapsed="false">
      <c r="A752" s="2" t="n">
        <v>751</v>
      </c>
      <c r="B752" s="5" t="s">
        <v>2200</v>
      </c>
      <c r="C752" s="2" t="s">
        <v>2201</v>
      </c>
      <c r="D752" s="2" t="s">
        <v>10</v>
      </c>
      <c r="E752" s="2" t="s">
        <v>218</v>
      </c>
      <c r="F752" s="2" t="s">
        <v>2202</v>
      </c>
      <c r="G752" s="2" t="s">
        <v>13</v>
      </c>
      <c r="H752" s="2" t="s">
        <v>14</v>
      </c>
    </row>
    <row r="753" customFormat="false" ht="15" hidden="false" customHeight="false" outlineLevel="0" collapsed="false">
      <c r="A753" s="2" t="n">
        <v>752</v>
      </c>
      <c r="B753" s="5" t="s">
        <v>2203</v>
      </c>
      <c r="C753" s="2" t="s">
        <v>2204</v>
      </c>
      <c r="D753" s="2" t="s">
        <v>10</v>
      </c>
      <c r="E753" s="2" t="s">
        <v>2156</v>
      </c>
      <c r="F753" s="2" t="s">
        <v>57</v>
      </c>
      <c r="G753" s="2" t="s">
        <v>13</v>
      </c>
      <c r="H753" s="2" t="s">
        <v>14</v>
      </c>
    </row>
    <row r="754" customFormat="false" ht="22.35" hidden="false" customHeight="false" outlineLevel="0" collapsed="false">
      <c r="A754" s="2" t="n">
        <v>753</v>
      </c>
      <c r="B754" s="5" t="s">
        <v>2205</v>
      </c>
      <c r="C754" s="2" t="s">
        <v>2206</v>
      </c>
      <c r="D754" s="2" t="s">
        <v>10</v>
      </c>
      <c r="E754" s="2" t="s">
        <v>2207</v>
      </c>
      <c r="F754" s="2" t="s">
        <v>2208</v>
      </c>
      <c r="G754" s="2" t="s">
        <v>13</v>
      </c>
      <c r="H754" s="2" t="s">
        <v>14</v>
      </c>
    </row>
    <row r="755" customFormat="false" ht="15" hidden="false" customHeight="false" outlineLevel="0" collapsed="false">
      <c r="A755" s="2" t="n">
        <v>754</v>
      </c>
      <c r="B755" s="5" t="s">
        <v>2209</v>
      </c>
      <c r="C755" s="2" t="s">
        <v>2210</v>
      </c>
      <c r="D755" s="2" t="s">
        <v>10</v>
      </c>
      <c r="E755" s="2" t="s">
        <v>729</v>
      </c>
      <c r="F755" s="2" t="s">
        <v>410</v>
      </c>
      <c r="G755" s="2" t="s">
        <v>28</v>
      </c>
      <c r="H755" s="2" t="s">
        <v>14</v>
      </c>
    </row>
    <row r="756" customFormat="false" ht="22.35" hidden="false" customHeight="false" outlineLevel="0" collapsed="false">
      <c r="A756" s="2" t="n">
        <v>755</v>
      </c>
      <c r="B756" s="5" t="s">
        <v>2211</v>
      </c>
      <c r="C756" s="2" t="s">
        <v>2212</v>
      </c>
      <c r="D756" s="2" t="s">
        <v>10</v>
      </c>
      <c r="E756" s="2" t="s">
        <v>2213</v>
      </c>
      <c r="F756" s="2" t="s">
        <v>780</v>
      </c>
      <c r="G756" s="2" t="s">
        <v>13</v>
      </c>
      <c r="H756" s="2" t="s">
        <v>14</v>
      </c>
    </row>
    <row r="757" customFormat="false" ht="15" hidden="false" customHeight="false" outlineLevel="0" collapsed="false">
      <c r="A757" s="2" t="n">
        <v>756</v>
      </c>
      <c r="B757" s="5" t="s">
        <v>2214</v>
      </c>
      <c r="C757" s="2" t="s">
        <v>2215</v>
      </c>
      <c r="D757" s="2" t="s">
        <v>10</v>
      </c>
      <c r="E757" s="2" t="s">
        <v>1375</v>
      </c>
      <c r="F757" s="2" t="s">
        <v>78</v>
      </c>
      <c r="G757" s="2" t="s">
        <v>13</v>
      </c>
      <c r="H757" s="2" t="s">
        <v>14</v>
      </c>
    </row>
    <row r="758" customFormat="false" ht="22.35" hidden="false" customHeight="false" outlineLevel="0" collapsed="false">
      <c r="A758" s="2" t="n">
        <v>757</v>
      </c>
      <c r="B758" s="5" t="s">
        <v>2216</v>
      </c>
      <c r="C758" s="2" t="s">
        <v>2217</v>
      </c>
      <c r="D758" s="2" t="s">
        <v>10</v>
      </c>
      <c r="E758" s="2" t="s">
        <v>2218</v>
      </c>
      <c r="F758" s="2" t="s">
        <v>2046</v>
      </c>
      <c r="G758" s="2" t="s">
        <v>13</v>
      </c>
      <c r="H758" s="2" t="s">
        <v>14</v>
      </c>
    </row>
    <row r="759" customFormat="false" ht="22.35" hidden="false" customHeight="false" outlineLevel="0" collapsed="false">
      <c r="A759" s="2" t="n">
        <v>758</v>
      </c>
      <c r="B759" s="3" t="s">
        <v>2219</v>
      </c>
      <c r="C759" s="2" t="s">
        <v>2220</v>
      </c>
      <c r="D759" s="2" t="s">
        <v>10</v>
      </c>
      <c r="E759" s="2" t="s">
        <v>2221</v>
      </c>
      <c r="F759" s="4" t="s">
        <v>2222</v>
      </c>
      <c r="G759" s="2" t="s">
        <v>13</v>
      </c>
      <c r="H759" s="2" t="s">
        <v>14</v>
      </c>
    </row>
    <row r="760" customFormat="false" ht="22.35" hidden="false" customHeight="false" outlineLevel="0" collapsed="false">
      <c r="A760" s="2" t="n">
        <v>759</v>
      </c>
      <c r="B760" s="5" t="s">
        <v>2223</v>
      </c>
      <c r="C760" s="2" t="s">
        <v>2224</v>
      </c>
      <c r="D760" s="2" t="s">
        <v>10</v>
      </c>
      <c r="E760" s="2" t="s">
        <v>1156</v>
      </c>
      <c r="F760" s="2" t="s">
        <v>209</v>
      </c>
      <c r="G760" s="2" t="s">
        <v>13</v>
      </c>
      <c r="H760" s="2" t="s">
        <v>14</v>
      </c>
    </row>
    <row r="761" customFormat="false" ht="22.35" hidden="false" customHeight="false" outlineLevel="0" collapsed="false">
      <c r="A761" s="2" t="n">
        <v>760</v>
      </c>
      <c r="B761" s="5" t="s">
        <v>2225</v>
      </c>
      <c r="C761" s="2" t="s">
        <v>2226</v>
      </c>
      <c r="D761" s="2" t="s">
        <v>10</v>
      </c>
      <c r="E761" s="2" t="s">
        <v>218</v>
      </c>
      <c r="F761" s="2" t="s">
        <v>350</v>
      </c>
      <c r="G761" s="2" t="s">
        <v>13</v>
      </c>
      <c r="H761" s="2" t="s">
        <v>14</v>
      </c>
    </row>
    <row r="762" customFormat="false" ht="22.35" hidden="false" customHeight="false" outlineLevel="0" collapsed="false">
      <c r="A762" s="2" t="n">
        <v>761</v>
      </c>
      <c r="B762" s="5" t="s">
        <v>2227</v>
      </c>
      <c r="C762" s="2" t="s">
        <v>2228</v>
      </c>
      <c r="D762" s="2" t="s">
        <v>10</v>
      </c>
      <c r="E762" s="2" t="s">
        <v>585</v>
      </c>
      <c r="F762" s="2" t="s">
        <v>681</v>
      </c>
      <c r="G762" s="2" t="s">
        <v>13</v>
      </c>
      <c r="H762" s="2" t="s">
        <v>14</v>
      </c>
    </row>
    <row r="763" customFormat="false" ht="22.35" hidden="false" customHeight="false" outlineLevel="0" collapsed="false">
      <c r="A763" s="2" t="n">
        <v>762</v>
      </c>
      <c r="B763" s="3" t="s">
        <v>2229</v>
      </c>
      <c r="C763" s="2" t="s">
        <v>2230</v>
      </c>
      <c r="D763" s="2" t="s">
        <v>10</v>
      </c>
      <c r="E763" s="2" t="s">
        <v>1156</v>
      </c>
      <c r="F763" s="4" t="s">
        <v>160</v>
      </c>
      <c r="G763" s="2" t="s">
        <v>13</v>
      </c>
      <c r="H763" s="2" t="s">
        <v>14</v>
      </c>
    </row>
    <row r="764" customFormat="false" ht="22.35" hidden="false" customHeight="false" outlineLevel="0" collapsed="false">
      <c r="A764" s="2" t="n">
        <v>763</v>
      </c>
      <c r="B764" s="3" t="s">
        <v>2231</v>
      </c>
      <c r="C764" s="2" t="s">
        <v>2232</v>
      </c>
      <c r="D764" s="2" t="s">
        <v>10</v>
      </c>
      <c r="E764" s="2" t="s">
        <v>880</v>
      </c>
      <c r="F764" s="4" t="s">
        <v>1509</v>
      </c>
      <c r="G764" s="2" t="s">
        <v>13</v>
      </c>
      <c r="H764" s="2" t="s">
        <v>14</v>
      </c>
    </row>
    <row r="765" customFormat="false" ht="22.35" hidden="false" customHeight="false" outlineLevel="0" collapsed="false">
      <c r="A765" s="2" t="n">
        <v>764</v>
      </c>
      <c r="B765" s="5" t="s">
        <v>2233</v>
      </c>
      <c r="C765" s="2" t="s">
        <v>2234</v>
      </c>
      <c r="D765" s="2" t="s">
        <v>10</v>
      </c>
      <c r="E765" s="2" t="s">
        <v>2235</v>
      </c>
      <c r="F765" s="2" t="s">
        <v>2236</v>
      </c>
      <c r="G765" s="2" t="s">
        <v>13</v>
      </c>
      <c r="H765" s="2" t="s">
        <v>14</v>
      </c>
    </row>
    <row r="766" customFormat="false" ht="22.35" hidden="false" customHeight="false" outlineLevel="0" collapsed="false">
      <c r="A766" s="2" t="n">
        <v>765</v>
      </c>
      <c r="B766" s="3" t="s">
        <v>2237</v>
      </c>
      <c r="C766" s="2" t="s">
        <v>2238</v>
      </c>
      <c r="D766" s="2" t="s">
        <v>10</v>
      </c>
      <c r="E766" s="2" t="s">
        <v>2239</v>
      </c>
      <c r="F766" s="4" t="s">
        <v>2240</v>
      </c>
      <c r="G766" s="2" t="s">
        <v>13</v>
      </c>
      <c r="H766" s="2" t="s">
        <v>14</v>
      </c>
    </row>
    <row r="767" customFormat="false" ht="22.35" hidden="false" customHeight="false" outlineLevel="0" collapsed="false">
      <c r="A767" s="2" t="n">
        <v>766</v>
      </c>
      <c r="B767" s="3" t="s">
        <v>2241</v>
      </c>
      <c r="C767" s="2" t="s">
        <v>2242</v>
      </c>
      <c r="D767" s="2" t="s">
        <v>10</v>
      </c>
      <c r="E767" s="2" t="s">
        <v>2239</v>
      </c>
      <c r="F767" s="4" t="s">
        <v>2243</v>
      </c>
      <c r="G767" s="2" t="s">
        <v>13</v>
      </c>
      <c r="H767" s="2" t="s">
        <v>14</v>
      </c>
    </row>
    <row r="768" customFormat="false" ht="22.35" hidden="false" customHeight="false" outlineLevel="0" collapsed="false">
      <c r="A768" s="2" t="n">
        <v>767</v>
      </c>
      <c r="B768" s="5" t="s">
        <v>2244</v>
      </c>
      <c r="C768" s="2" t="s">
        <v>2245</v>
      </c>
      <c r="D768" s="2" t="s">
        <v>10</v>
      </c>
      <c r="E768" s="2" t="s">
        <v>2246</v>
      </c>
      <c r="F768" s="2" t="s">
        <v>2247</v>
      </c>
      <c r="G768" s="2" t="s">
        <v>13</v>
      </c>
      <c r="H768" s="2" t="s">
        <v>14</v>
      </c>
    </row>
    <row r="769" customFormat="false" ht="22.35" hidden="false" customHeight="false" outlineLevel="0" collapsed="false">
      <c r="A769" s="2" t="n">
        <v>768</v>
      </c>
      <c r="B769" s="5" t="s">
        <v>2248</v>
      </c>
      <c r="C769" s="2" t="s">
        <v>2249</v>
      </c>
      <c r="D769" s="2" t="s">
        <v>2250</v>
      </c>
      <c r="E769" s="2" t="s">
        <v>1056</v>
      </c>
      <c r="F769" s="2" t="s">
        <v>693</v>
      </c>
      <c r="G769" s="2" t="s">
        <v>13</v>
      </c>
      <c r="H769" s="2" t="s">
        <v>14</v>
      </c>
    </row>
    <row r="770" customFormat="false" ht="22.35" hidden="false" customHeight="false" outlineLevel="0" collapsed="false">
      <c r="A770" s="2" t="n">
        <v>769</v>
      </c>
      <c r="B770" s="5" t="s">
        <v>2251</v>
      </c>
      <c r="C770" s="2" t="s">
        <v>2252</v>
      </c>
      <c r="D770" s="2" t="s">
        <v>10</v>
      </c>
      <c r="E770" s="2" t="s">
        <v>2253</v>
      </c>
      <c r="F770" s="2" t="s">
        <v>2254</v>
      </c>
      <c r="G770" s="2" t="s">
        <v>13</v>
      </c>
      <c r="H770" s="2" t="s">
        <v>14</v>
      </c>
    </row>
    <row r="771" customFormat="false" ht="22.35" hidden="false" customHeight="false" outlineLevel="0" collapsed="false">
      <c r="A771" s="2" t="n">
        <v>770</v>
      </c>
      <c r="B771" s="3" t="s">
        <v>2255</v>
      </c>
      <c r="C771" s="2" t="s">
        <v>2256</v>
      </c>
      <c r="D771" s="2" t="s">
        <v>10</v>
      </c>
      <c r="E771" s="2" t="s">
        <v>218</v>
      </c>
      <c r="F771" s="4" t="s">
        <v>2257</v>
      </c>
      <c r="G771" s="2" t="s">
        <v>13</v>
      </c>
      <c r="H771" s="2" t="s">
        <v>14</v>
      </c>
    </row>
    <row r="772" customFormat="false" ht="15" hidden="false" customHeight="false" outlineLevel="0" collapsed="false">
      <c r="A772" s="2" t="n">
        <v>771</v>
      </c>
      <c r="B772" s="5" t="s">
        <v>2258</v>
      </c>
      <c r="C772" s="2" t="s">
        <v>2259</v>
      </c>
      <c r="D772" s="2" t="s">
        <v>10</v>
      </c>
      <c r="E772" s="2" t="s">
        <v>2260</v>
      </c>
      <c r="F772" s="2" t="s">
        <v>1596</v>
      </c>
      <c r="G772" s="2" t="s">
        <v>13</v>
      </c>
      <c r="H772" s="2" t="s">
        <v>14</v>
      </c>
    </row>
    <row r="773" customFormat="false" ht="15" hidden="false" customHeight="false" outlineLevel="0" collapsed="false">
      <c r="A773" s="2" t="n">
        <v>772</v>
      </c>
      <c r="B773" s="5" t="s">
        <v>2209</v>
      </c>
      <c r="C773" s="2" t="s">
        <v>2261</v>
      </c>
      <c r="D773" s="2" t="s">
        <v>10</v>
      </c>
      <c r="E773" s="2" t="s">
        <v>218</v>
      </c>
      <c r="F773" s="2" t="s">
        <v>186</v>
      </c>
      <c r="G773" s="2" t="s">
        <v>28</v>
      </c>
      <c r="H773" s="2" t="s">
        <v>14</v>
      </c>
    </row>
    <row r="774" customFormat="false" ht="32.8" hidden="false" customHeight="false" outlineLevel="0" collapsed="false">
      <c r="A774" s="2" t="n">
        <v>773</v>
      </c>
      <c r="B774" s="5" t="s">
        <v>2262</v>
      </c>
      <c r="C774" s="2" t="s">
        <v>2263</v>
      </c>
      <c r="D774" s="2" t="s">
        <v>10</v>
      </c>
      <c r="E774" s="2" t="s">
        <v>218</v>
      </c>
      <c r="F774" s="2" t="s">
        <v>681</v>
      </c>
      <c r="G774" s="2" t="s">
        <v>28</v>
      </c>
      <c r="H774" s="2" t="s">
        <v>14</v>
      </c>
    </row>
    <row r="775" customFormat="false" ht="22.35" hidden="false" customHeight="false" outlineLevel="0" collapsed="false">
      <c r="A775" s="2" t="n">
        <v>774</v>
      </c>
      <c r="B775" s="5" t="s">
        <v>2264</v>
      </c>
      <c r="C775" s="2" t="s">
        <v>2265</v>
      </c>
      <c r="D775" s="2" t="s">
        <v>10</v>
      </c>
      <c r="E775" s="2" t="s">
        <v>890</v>
      </c>
      <c r="F775" s="2" t="s">
        <v>2266</v>
      </c>
      <c r="G775" s="2" t="s">
        <v>13</v>
      </c>
      <c r="H775" s="2" t="s">
        <v>14</v>
      </c>
    </row>
    <row r="776" customFormat="false" ht="22.35" hidden="false" customHeight="false" outlineLevel="0" collapsed="false">
      <c r="A776" s="2" t="n">
        <v>775</v>
      </c>
      <c r="B776" s="3" t="s">
        <v>2267</v>
      </c>
      <c r="C776" s="2" t="s">
        <v>2268</v>
      </c>
      <c r="D776" s="2" t="s">
        <v>10</v>
      </c>
      <c r="E776" s="2" t="s">
        <v>1662</v>
      </c>
      <c r="F776" s="4" t="s">
        <v>2269</v>
      </c>
      <c r="G776" s="2" t="s">
        <v>28</v>
      </c>
      <c r="H776" s="2" t="s">
        <v>14</v>
      </c>
    </row>
    <row r="777" customFormat="false" ht="22.35" hidden="false" customHeight="false" outlineLevel="0" collapsed="false">
      <c r="A777" s="2" t="n">
        <v>776</v>
      </c>
      <c r="B777" s="5" t="s">
        <v>2270</v>
      </c>
      <c r="C777" s="2" t="s">
        <v>2271</v>
      </c>
      <c r="D777" s="2" t="s">
        <v>10</v>
      </c>
      <c r="E777" s="2" t="s">
        <v>218</v>
      </c>
      <c r="F777" s="2" t="s">
        <v>2272</v>
      </c>
      <c r="G777" s="2" t="s">
        <v>13</v>
      </c>
      <c r="H777" s="2" t="s">
        <v>14</v>
      </c>
    </row>
    <row r="778" customFormat="false" ht="22.35" hidden="false" customHeight="false" outlineLevel="0" collapsed="false">
      <c r="A778" s="2" t="n">
        <v>777</v>
      </c>
      <c r="B778" s="3" t="s">
        <v>2273</v>
      </c>
      <c r="C778" s="2" t="s">
        <v>2274</v>
      </c>
      <c r="D778" s="2" t="s">
        <v>2275</v>
      </c>
      <c r="E778" s="2" t="s">
        <v>2276</v>
      </c>
      <c r="F778" s="4" t="s">
        <v>1902</v>
      </c>
      <c r="G778" s="2" t="s">
        <v>13</v>
      </c>
      <c r="H778" s="2" t="s">
        <v>14</v>
      </c>
    </row>
    <row r="779" customFormat="false" ht="15" hidden="false" customHeight="false" outlineLevel="0" collapsed="false">
      <c r="A779" s="2" t="n">
        <v>778</v>
      </c>
      <c r="B779" s="5" t="s">
        <v>2277</v>
      </c>
      <c r="C779" s="2" t="s">
        <v>2278</v>
      </c>
      <c r="D779" s="2" t="s">
        <v>2279</v>
      </c>
      <c r="E779" s="2" t="s">
        <v>2280</v>
      </c>
      <c r="F779" s="2" t="s">
        <v>693</v>
      </c>
      <c r="G779" s="2" t="s">
        <v>28</v>
      </c>
      <c r="H779" s="2" t="s">
        <v>14</v>
      </c>
    </row>
    <row r="780" customFormat="false" ht="15" hidden="false" customHeight="false" outlineLevel="0" collapsed="false">
      <c r="A780" s="2" t="n">
        <v>779</v>
      </c>
      <c r="B780" s="5" t="s">
        <v>2281</v>
      </c>
      <c r="C780" s="2" t="s">
        <v>2282</v>
      </c>
      <c r="D780" s="2" t="s">
        <v>2279</v>
      </c>
      <c r="E780" s="2" t="s">
        <v>2283</v>
      </c>
      <c r="F780" s="2" t="s">
        <v>1557</v>
      </c>
      <c r="G780" s="2" t="s">
        <v>28</v>
      </c>
      <c r="H780" s="2" t="s">
        <v>14</v>
      </c>
    </row>
    <row r="781" customFormat="false" ht="15" hidden="false" customHeight="false" outlineLevel="0" collapsed="false">
      <c r="A781" s="2" t="n">
        <v>780</v>
      </c>
      <c r="B781" s="5" t="s">
        <v>2284</v>
      </c>
      <c r="C781" s="2" t="s">
        <v>2285</v>
      </c>
      <c r="D781" s="2" t="s">
        <v>2279</v>
      </c>
      <c r="E781" s="2" t="s">
        <v>937</v>
      </c>
      <c r="F781" s="2" t="s">
        <v>81</v>
      </c>
      <c r="G781" s="2" t="s">
        <v>28</v>
      </c>
      <c r="H781" s="2" t="s">
        <v>14</v>
      </c>
    </row>
    <row r="782" customFormat="false" ht="15" hidden="false" customHeight="false" outlineLevel="0" collapsed="false">
      <c r="A782" s="2" t="n">
        <v>781</v>
      </c>
      <c r="B782" s="5" t="s">
        <v>2286</v>
      </c>
      <c r="C782" s="2" t="s">
        <v>2287</v>
      </c>
      <c r="D782" s="2" t="s">
        <v>2279</v>
      </c>
      <c r="E782" s="2" t="s">
        <v>2288</v>
      </c>
      <c r="F782" s="2" t="s">
        <v>2289</v>
      </c>
      <c r="G782" s="2" t="s">
        <v>28</v>
      </c>
      <c r="H782" s="2" t="s">
        <v>14</v>
      </c>
    </row>
    <row r="783" customFormat="false" ht="15" hidden="false" customHeight="false" outlineLevel="0" collapsed="false">
      <c r="A783" s="2" t="n">
        <v>782</v>
      </c>
      <c r="B783" s="5" t="s">
        <v>2290</v>
      </c>
      <c r="C783" s="2" t="s">
        <v>2291</v>
      </c>
      <c r="D783" s="2" t="s">
        <v>2279</v>
      </c>
      <c r="E783" s="2" t="s">
        <v>2292</v>
      </c>
      <c r="F783" s="2" t="s">
        <v>35</v>
      </c>
      <c r="G783" s="2" t="s">
        <v>28</v>
      </c>
      <c r="H783" s="2" t="s">
        <v>14</v>
      </c>
    </row>
    <row r="784" customFormat="false" ht="15" hidden="false" customHeight="false" outlineLevel="0" collapsed="false">
      <c r="A784" s="2" t="n">
        <v>783</v>
      </c>
      <c r="B784" s="5" t="s">
        <v>2293</v>
      </c>
      <c r="C784" s="2" t="s">
        <v>2294</v>
      </c>
      <c r="D784" s="2" t="s">
        <v>2279</v>
      </c>
      <c r="E784" s="2" t="s">
        <v>868</v>
      </c>
      <c r="F784" s="2" t="s">
        <v>1005</v>
      </c>
      <c r="G784" s="2" t="s">
        <v>28</v>
      </c>
      <c r="H784" s="2" t="s">
        <v>14</v>
      </c>
    </row>
    <row r="785" customFormat="false" ht="15" hidden="false" customHeight="false" outlineLevel="0" collapsed="false">
      <c r="A785" s="2" t="n">
        <v>784</v>
      </c>
      <c r="B785" s="5" t="s">
        <v>2295</v>
      </c>
      <c r="C785" s="2" t="s">
        <v>2296</v>
      </c>
      <c r="D785" s="2" t="s">
        <v>2279</v>
      </c>
      <c r="E785" s="2" t="s">
        <v>2297</v>
      </c>
      <c r="F785" s="2" t="s">
        <v>2298</v>
      </c>
      <c r="G785" s="2" t="s">
        <v>28</v>
      </c>
      <c r="H785" s="2" t="s">
        <v>14</v>
      </c>
    </row>
    <row r="786" customFormat="false" ht="15" hidden="false" customHeight="false" outlineLevel="0" collapsed="false">
      <c r="A786" s="2" t="n">
        <v>785</v>
      </c>
      <c r="B786" s="5" t="s">
        <v>2299</v>
      </c>
      <c r="C786" s="2" t="s">
        <v>2300</v>
      </c>
      <c r="D786" s="2" t="s">
        <v>2279</v>
      </c>
      <c r="E786" s="2" t="s">
        <v>2301</v>
      </c>
      <c r="F786" s="2" t="s">
        <v>2302</v>
      </c>
      <c r="G786" s="2" t="s">
        <v>28</v>
      </c>
      <c r="H786" s="2" t="s">
        <v>14</v>
      </c>
    </row>
    <row r="787" customFormat="false" ht="15" hidden="false" customHeight="false" outlineLevel="0" collapsed="false">
      <c r="A787" s="2" t="n">
        <v>786</v>
      </c>
      <c r="B787" s="5" t="s">
        <v>2303</v>
      </c>
      <c r="C787" s="2" t="s">
        <v>2304</v>
      </c>
      <c r="D787" s="2" t="s">
        <v>2279</v>
      </c>
      <c r="E787" s="2" t="s">
        <v>2305</v>
      </c>
      <c r="F787" s="2" t="s">
        <v>2306</v>
      </c>
      <c r="G787" s="2" t="s">
        <v>28</v>
      </c>
      <c r="H787" s="2" t="s">
        <v>14</v>
      </c>
    </row>
    <row r="788" customFormat="false" ht="22.35" hidden="false" customHeight="false" outlineLevel="0" collapsed="false">
      <c r="A788" s="2" t="n">
        <v>787</v>
      </c>
      <c r="B788" s="5" t="s">
        <v>2307</v>
      </c>
      <c r="C788" s="2" t="s">
        <v>2308</v>
      </c>
      <c r="D788" s="2" t="s">
        <v>2279</v>
      </c>
      <c r="E788" s="2" t="s">
        <v>2309</v>
      </c>
      <c r="F788" s="2" t="s">
        <v>2310</v>
      </c>
      <c r="G788" s="2" t="s">
        <v>28</v>
      </c>
      <c r="H788" s="2" t="s">
        <v>14</v>
      </c>
    </row>
    <row r="789" customFormat="false" ht="15" hidden="false" customHeight="false" outlineLevel="0" collapsed="false">
      <c r="A789" s="2" t="n">
        <v>788</v>
      </c>
      <c r="B789" s="5" t="s">
        <v>2311</v>
      </c>
      <c r="C789" s="2" t="s">
        <v>2312</v>
      </c>
      <c r="D789" s="2" t="s">
        <v>2279</v>
      </c>
      <c r="E789" s="2" t="s">
        <v>2313</v>
      </c>
      <c r="F789" s="2" t="s">
        <v>1081</v>
      </c>
      <c r="G789" s="2" t="s">
        <v>28</v>
      </c>
      <c r="H789" s="2" t="s">
        <v>14</v>
      </c>
    </row>
    <row r="790" customFormat="false" ht="22.35" hidden="false" customHeight="false" outlineLevel="0" collapsed="false">
      <c r="A790" s="2" t="n">
        <v>789</v>
      </c>
      <c r="B790" s="5" t="s">
        <v>2314</v>
      </c>
      <c r="C790" s="2" t="s">
        <v>2315</v>
      </c>
      <c r="D790" s="2" t="s">
        <v>2279</v>
      </c>
      <c r="E790" s="2" t="s">
        <v>2313</v>
      </c>
      <c r="F790" s="2" t="s">
        <v>124</v>
      </c>
      <c r="G790" s="2" t="s">
        <v>13</v>
      </c>
      <c r="H790" s="2" t="s">
        <v>14</v>
      </c>
    </row>
    <row r="791" customFormat="false" ht="22.35" hidden="false" customHeight="false" outlineLevel="0" collapsed="false">
      <c r="A791" s="2" t="n">
        <v>790</v>
      </c>
      <c r="B791" s="5" t="s">
        <v>2316</v>
      </c>
      <c r="C791" s="2" t="s">
        <v>2317</v>
      </c>
      <c r="D791" s="2" t="s">
        <v>2279</v>
      </c>
      <c r="E791" s="2" t="s">
        <v>2313</v>
      </c>
      <c r="F791" s="2" t="s">
        <v>124</v>
      </c>
      <c r="G791" s="2" t="s">
        <v>28</v>
      </c>
      <c r="H791" s="2" t="s">
        <v>14</v>
      </c>
    </row>
    <row r="792" customFormat="false" ht="15" hidden="false" customHeight="false" outlineLevel="0" collapsed="false">
      <c r="A792" s="2" t="n">
        <v>791</v>
      </c>
      <c r="B792" s="5" t="s">
        <v>2318</v>
      </c>
      <c r="C792" s="2" t="s">
        <v>2319</v>
      </c>
      <c r="D792" s="2" t="s">
        <v>2279</v>
      </c>
      <c r="E792" s="2" t="s">
        <v>2313</v>
      </c>
      <c r="F792" s="2" t="s">
        <v>984</v>
      </c>
      <c r="G792" s="2" t="s">
        <v>28</v>
      </c>
      <c r="H792" s="2" t="s">
        <v>14</v>
      </c>
    </row>
    <row r="793" customFormat="false" ht="22.35" hidden="false" customHeight="false" outlineLevel="0" collapsed="false">
      <c r="A793" s="2" t="n">
        <v>792</v>
      </c>
      <c r="B793" s="5" t="s">
        <v>2320</v>
      </c>
      <c r="C793" s="2" t="s">
        <v>2321</v>
      </c>
      <c r="D793" s="2" t="s">
        <v>2279</v>
      </c>
      <c r="E793" s="2" t="s">
        <v>2322</v>
      </c>
      <c r="F793" s="2" t="s">
        <v>2323</v>
      </c>
      <c r="G793" s="2" t="s">
        <v>28</v>
      </c>
      <c r="H793" s="2" t="s">
        <v>14</v>
      </c>
    </row>
    <row r="794" customFormat="false" ht="22.35" hidden="false" customHeight="false" outlineLevel="0" collapsed="false">
      <c r="A794" s="2" t="n">
        <v>793</v>
      </c>
      <c r="B794" s="5" t="s">
        <v>2324</v>
      </c>
      <c r="C794" s="2" t="s">
        <v>2325</v>
      </c>
      <c r="D794" s="2" t="s">
        <v>2279</v>
      </c>
      <c r="E794" s="2" t="s">
        <v>2313</v>
      </c>
      <c r="F794" s="2" t="s">
        <v>1218</v>
      </c>
      <c r="G794" s="2" t="s">
        <v>13</v>
      </c>
      <c r="H794" s="2" t="s">
        <v>14</v>
      </c>
    </row>
    <row r="795" customFormat="false" ht="15" hidden="false" customHeight="false" outlineLevel="0" collapsed="false">
      <c r="A795" s="2" t="n">
        <v>794</v>
      </c>
      <c r="B795" s="3" t="s">
        <v>2326</v>
      </c>
      <c r="C795" s="2" t="s">
        <v>2327</v>
      </c>
      <c r="D795" s="2" t="s">
        <v>2279</v>
      </c>
      <c r="E795" s="2" t="s">
        <v>2313</v>
      </c>
      <c r="F795" s="4" t="s">
        <v>2328</v>
      </c>
      <c r="G795" s="2" t="s">
        <v>28</v>
      </c>
      <c r="H795" s="2" t="s">
        <v>14</v>
      </c>
    </row>
    <row r="796" customFormat="false" ht="22.35" hidden="false" customHeight="false" outlineLevel="0" collapsed="false">
      <c r="A796" s="2" t="n">
        <v>795</v>
      </c>
      <c r="B796" s="5" t="s">
        <v>2329</v>
      </c>
      <c r="C796" s="2" t="s">
        <v>2330</v>
      </c>
      <c r="D796" s="2" t="s">
        <v>2279</v>
      </c>
      <c r="E796" s="2" t="s">
        <v>2313</v>
      </c>
      <c r="F796" s="2" t="s">
        <v>2331</v>
      </c>
      <c r="G796" s="2" t="s">
        <v>13</v>
      </c>
      <c r="H796" s="2" t="s">
        <v>14</v>
      </c>
    </row>
    <row r="797" customFormat="false" ht="15" hidden="false" customHeight="false" outlineLevel="0" collapsed="false">
      <c r="A797" s="2" t="n">
        <v>796</v>
      </c>
      <c r="B797" s="5" t="s">
        <v>2332</v>
      </c>
      <c r="C797" s="2" t="s">
        <v>2333</v>
      </c>
      <c r="D797" s="2" t="s">
        <v>2279</v>
      </c>
      <c r="E797" s="2" t="s">
        <v>2334</v>
      </c>
      <c r="F797" s="2" t="s">
        <v>2335</v>
      </c>
      <c r="G797" s="2" t="s">
        <v>28</v>
      </c>
      <c r="H797" s="2" t="s">
        <v>14</v>
      </c>
    </row>
    <row r="798" customFormat="false" ht="15" hidden="false" customHeight="false" outlineLevel="0" collapsed="false">
      <c r="A798" s="2" t="n">
        <v>797</v>
      </c>
      <c r="B798" s="5" t="s">
        <v>2336</v>
      </c>
      <c r="C798" s="2" t="s">
        <v>2337</v>
      </c>
      <c r="D798" s="2" t="s">
        <v>2279</v>
      </c>
      <c r="E798" s="2" t="s">
        <v>2313</v>
      </c>
      <c r="F798" s="2" t="s">
        <v>684</v>
      </c>
      <c r="G798" s="2" t="s">
        <v>28</v>
      </c>
      <c r="H798" s="2" t="s">
        <v>14</v>
      </c>
    </row>
    <row r="799" customFormat="false" ht="22.35" hidden="false" customHeight="false" outlineLevel="0" collapsed="false">
      <c r="A799" s="2" t="n">
        <v>798</v>
      </c>
      <c r="B799" s="5" t="s">
        <v>2338</v>
      </c>
      <c r="C799" s="2" t="s">
        <v>2339</v>
      </c>
      <c r="D799" s="2" t="s">
        <v>2279</v>
      </c>
      <c r="E799" s="2" t="s">
        <v>1229</v>
      </c>
      <c r="F799" s="2" t="s">
        <v>2306</v>
      </c>
      <c r="G799" s="2" t="s">
        <v>28</v>
      </c>
      <c r="H799" s="2" t="s">
        <v>14</v>
      </c>
    </row>
    <row r="800" customFormat="false" ht="15" hidden="false" customHeight="false" outlineLevel="0" collapsed="false">
      <c r="A800" s="2" t="n">
        <v>799</v>
      </c>
      <c r="B800" s="5" t="s">
        <v>2340</v>
      </c>
      <c r="C800" s="2" t="s">
        <v>2341</v>
      </c>
      <c r="D800" s="2" t="s">
        <v>2279</v>
      </c>
      <c r="E800" s="2" t="s">
        <v>2342</v>
      </c>
      <c r="F800" s="2" t="s">
        <v>2343</v>
      </c>
      <c r="G800" s="2" t="s">
        <v>28</v>
      </c>
      <c r="H800" s="2" t="s">
        <v>14</v>
      </c>
    </row>
    <row r="801" customFormat="false" ht="15" hidden="false" customHeight="false" outlineLevel="0" collapsed="false">
      <c r="A801" s="2" t="n">
        <v>800</v>
      </c>
      <c r="B801" s="5" t="s">
        <v>2344</v>
      </c>
      <c r="C801" s="2" t="s">
        <v>2345</v>
      </c>
      <c r="D801" s="2" t="s">
        <v>2279</v>
      </c>
      <c r="E801" s="2" t="s">
        <v>2342</v>
      </c>
      <c r="F801" s="2" t="s">
        <v>1145</v>
      </c>
      <c r="G801" s="2" t="s">
        <v>28</v>
      </c>
      <c r="H801" s="2" t="s">
        <v>14</v>
      </c>
    </row>
    <row r="802" customFormat="false" ht="22.35" hidden="false" customHeight="false" outlineLevel="0" collapsed="false">
      <c r="A802" s="2" t="n">
        <v>801</v>
      </c>
      <c r="B802" s="5" t="s">
        <v>2346</v>
      </c>
      <c r="C802" s="2" t="s">
        <v>2347</v>
      </c>
      <c r="D802" s="2" t="s">
        <v>2348</v>
      </c>
      <c r="E802" s="2" t="s">
        <v>2349</v>
      </c>
      <c r="F802" s="2" t="s">
        <v>2350</v>
      </c>
      <c r="G802" s="2" t="s">
        <v>13</v>
      </c>
      <c r="H802" s="2" t="s">
        <v>14</v>
      </c>
    </row>
    <row r="803" customFormat="false" ht="15" hidden="false" customHeight="false" outlineLevel="0" collapsed="false">
      <c r="A803" s="2" t="n">
        <v>802</v>
      </c>
      <c r="B803" s="5" t="s">
        <v>2351</v>
      </c>
      <c r="C803" s="2" t="s">
        <v>2352</v>
      </c>
      <c r="D803" s="2" t="s">
        <v>2279</v>
      </c>
      <c r="E803" s="2" t="s">
        <v>2353</v>
      </c>
      <c r="F803" s="2" t="s">
        <v>2354</v>
      </c>
      <c r="G803" s="2" t="s">
        <v>13</v>
      </c>
      <c r="H803" s="2" t="s">
        <v>14</v>
      </c>
    </row>
    <row r="804" customFormat="false" ht="22.35" hidden="false" customHeight="false" outlineLevel="0" collapsed="false">
      <c r="A804" s="2" t="n">
        <v>803</v>
      </c>
      <c r="B804" s="5" t="s">
        <v>2355</v>
      </c>
      <c r="C804" s="2" t="s">
        <v>2356</v>
      </c>
      <c r="D804" s="2" t="s">
        <v>2279</v>
      </c>
      <c r="E804" s="2" t="s">
        <v>1770</v>
      </c>
      <c r="F804" s="2" t="s">
        <v>1429</v>
      </c>
      <c r="G804" s="2" t="s">
        <v>13</v>
      </c>
      <c r="H804" s="2" t="s">
        <v>14</v>
      </c>
    </row>
    <row r="805" customFormat="false" ht="15" hidden="false" customHeight="false" outlineLevel="0" collapsed="false">
      <c r="A805" s="2" t="n">
        <v>804</v>
      </c>
      <c r="B805" s="5" t="s">
        <v>2357</v>
      </c>
      <c r="C805" s="2" t="s">
        <v>2358</v>
      </c>
      <c r="D805" s="2" t="s">
        <v>2279</v>
      </c>
      <c r="E805" s="2" t="s">
        <v>2313</v>
      </c>
      <c r="F805" s="2" t="s">
        <v>2359</v>
      </c>
      <c r="G805" s="2" t="s">
        <v>28</v>
      </c>
      <c r="H805" s="2" t="s">
        <v>14</v>
      </c>
    </row>
    <row r="806" customFormat="false" ht="22.35" hidden="false" customHeight="false" outlineLevel="0" collapsed="false">
      <c r="A806" s="2" t="n">
        <v>805</v>
      </c>
      <c r="B806" s="5" t="s">
        <v>2360</v>
      </c>
      <c r="C806" s="2" t="s">
        <v>2361</v>
      </c>
      <c r="D806" s="2" t="s">
        <v>2279</v>
      </c>
      <c r="E806" s="2" t="s">
        <v>2313</v>
      </c>
      <c r="F806" s="2" t="s">
        <v>766</v>
      </c>
      <c r="G806" s="2" t="s">
        <v>28</v>
      </c>
      <c r="H806" s="2" t="s">
        <v>14</v>
      </c>
    </row>
    <row r="807" customFormat="false" ht="22.35" hidden="false" customHeight="false" outlineLevel="0" collapsed="false">
      <c r="A807" s="2" t="n">
        <v>806</v>
      </c>
      <c r="B807" s="5" t="s">
        <v>2362</v>
      </c>
      <c r="C807" s="2" t="s">
        <v>2363</v>
      </c>
      <c r="D807" s="2" t="s">
        <v>2279</v>
      </c>
      <c r="E807" s="2" t="s">
        <v>2364</v>
      </c>
      <c r="F807" s="2" t="s">
        <v>2365</v>
      </c>
      <c r="G807" s="2" t="s">
        <v>28</v>
      </c>
      <c r="H807" s="2" t="s">
        <v>14</v>
      </c>
    </row>
    <row r="808" customFormat="false" ht="15" hidden="false" customHeight="false" outlineLevel="0" collapsed="false">
      <c r="A808" s="2" t="n">
        <v>807</v>
      </c>
      <c r="B808" s="5" t="s">
        <v>2366</v>
      </c>
      <c r="C808" s="2" t="s">
        <v>2367</v>
      </c>
      <c r="D808" s="2" t="s">
        <v>2279</v>
      </c>
      <c r="E808" s="2" t="s">
        <v>2313</v>
      </c>
      <c r="F808" s="2" t="s">
        <v>984</v>
      </c>
      <c r="G808" s="2" t="s">
        <v>28</v>
      </c>
      <c r="H808" s="2" t="s">
        <v>14</v>
      </c>
    </row>
    <row r="809" customFormat="false" ht="15" hidden="false" customHeight="false" outlineLevel="0" collapsed="false">
      <c r="A809" s="2" t="n">
        <v>808</v>
      </c>
      <c r="B809" s="3" t="s">
        <v>2368</v>
      </c>
      <c r="C809" s="2" t="s">
        <v>2369</v>
      </c>
      <c r="D809" s="2" t="s">
        <v>2279</v>
      </c>
      <c r="E809" s="2" t="s">
        <v>2313</v>
      </c>
      <c r="F809" s="4" t="s">
        <v>2328</v>
      </c>
      <c r="G809" s="2" t="s">
        <v>28</v>
      </c>
      <c r="H809" s="2" t="s">
        <v>14</v>
      </c>
    </row>
    <row r="810" customFormat="false" ht="22.35" hidden="false" customHeight="false" outlineLevel="0" collapsed="false">
      <c r="A810" s="2" t="n">
        <v>809</v>
      </c>
      <c r="B810" s="5" t="s">
        <v>2370</v>
      </c>
      <c r="C810" s="2" t="s">
        <v>2371</v>
      </c>
      <c r="D810" s="2" t="s">
        <v>2279</v>
      </c>
      <c r="E810" s="2" t="s">
        <v>65</v>
      </c>
      <c r="F810" s="2" t="s">
        <v>2372</v>
      </c>
      <c r="G810" s="2" t="s">
        <v>13</v>
      </c>
      <c r="H810" s="2" t="s">
        <v>14</v>
      </c>
    </row>
    <row r="811" customFormat="false" ht="15" hidden="false" customHeight="false" outlineLevel="0" collapsed="false">
      <c r="A811" s="2" t="n">
        <v>810</v>
      </c>
      <c r="B811" s="5" t="s">
        <v>2373</v>
      </c>
      <c r="C811" s="2" t="s">
        <v>2374</v>
      </c>
      <c r="D811" s="2" t="s">
        <v>2279</v>
      </c>
      <c r="E811" s="2" t="s">
        <v>2375</v>
      </c>
      <c r="F811" s="2" t="s">
        <v>2376</v>
      </c>
      <c r="G811" s="2" t="s">
        <v>13</v>
      </c>
      <c r="H811" s="2" t="s">
        <v>14</v>
      </c>
    </row>
    <row r="812" customFormat="false" ht="15" hidden="false" customHeight="false" outlineLevel="0" collapsed="false">
      <c r="A812" s="2" t="n">
        <v>811</v>
      </c>
      <c r="B812" s="5" t="s">
        <v>2377</v>
      </c>
      <c r="C812" s="2" t="s">
        <v>2378</v>
      </c>
      <c r="D812" s="2" t="s">
        <v>2279</v>
      </c>
      <c r="E812" s="2" t="s">
        <v>1623</v>
      </c>
      <c r="F812" s="2" t="s">
        <v>188</v>
      </c>
      <c r="G812" s="2" t="s">
        <v>13</v>
      </c>
      <c r="H812" s="2" t="s">
        <v>14</v>
      </c>
    </row>
    <row r="813" customFormat="false" ht="22.35" hidden="false" customHeight="false" outlineLevel="0" collapsed="false">
      <c r="A813" s="2" t="n">
        <v>812</v>
      </c>
      <c r="B813" s="5" t="s">
        <v>2379</v>
      </c>
      <c r="C813" s="2" t="s">
        <v>2380</v>
      </c>
      <c r="D813" s="2" t="s">
        <v>2279</v>
      </c>
      <c r="E813" s="2" t="s">
        <v>795</v>
      </c>
      <c r="F813" s="2" t="s">
        <v>2066</v>
      </c>
      <c r="G813" s="2" t="s">
        <v>13</v>
      </c>
      <c r="H813" s="2" t="s">
        <v>14</v>
      </c>
    </row>
    <row r="814" customFormat="false" ht="22.35" hidden="false" customHeight="false" outlineLevel="0" collapsed="false">
      <c r="A814" s="2" t="n">
        <v>813</v>
      </c>
      <c r="B814" s="3" t="s">
        <v>2381</v>
      </c>
      <c r="C814" s="2" t="s">
        <v>2382</v>
      </c>
      <c r="D814" s="2" t="s">
        <v>2279</v>
      </c>
      <c r="E814" s="2" t="s">
        <v>2383</v>
      </c>
      <c r="F814" s="4" t="s">
        <v>2384</v>
      </c>
      <c r="G814" s="2" t="s">
        <v>13</v>
      </c>
      <c r="H814" s="2" t="s">
        <v>14</v>
      </c>
    </row>
    <row r="815" customFormat="false" ht="22.35" hidden="false" customHeight="false" outlineLevel="0" collapsed="false">
      <c r="A815" s="2" t="n">
        <v>814</v>
      </c>
      <c r="B815" s="5" t="s">
        <v>2385</v>
      </c>
      <c r="C815" s="2" t="s">
        <v>2386</v>
      </c>
      <c r="D815" s="2" t="s">
        <v>2279</v>
      </c>
      <c r="E815" s="2" t="s">
        <v>2387</v>
      </c>
      <c r="F815" s="2" t="s">
        <v>2376</v>
      </c>
      <c r="G815" s="2" t="s">
        <v>13</v>
      </c>
      <c r="H815" s="2" t="s">
        <v>14</v>
      </c>
    </row>
    <row r="816" customFormat="false" ht="15" hidden="false" customHeight="false" outlineLevel="0" collapsed="false">
      <c r="A816" s="2" t="n">
        <v>815</v>
      </c>
      <c r="B816" s="5" t="s">
        <v>2388</v>
      </c>
      <c r="C816" s="2" t="s">
        <v>2389</v>
      </c>
      <c r="D816" s="2" t="s">
        <v>2279</v>
      </c>
      <c r="E816" s="2" t="s">
        <v>2390</v>
      </c>
      <c r="F816" s="2" t="s">
        <v>191</v>
      </c>
      <c r="G816" s="2" t="s">
        <v>13</v>
      </c>
      <c r="H816" s="2" t="s">
        <v>14</v>
      </c>
    </row>
    <row r="817" customFormat="false" ht="15" hidden="false" customHeight="false" outlineLevel="0" collapsed="false">
      <c r="A817" s="2" t="n">
        <v>816</v>
      </c>
      <c r="B817" s="5" t="s">
        <v>2391</v>
      </c>
      <c r="C817" s="2" t="s">
        <v>2392</v>
      </c>
      <c r="D817" s="2" t="s">
        <v>2279</v>
      </c>
      <c r="E817" s="2" t="s">
        <v>2393</v>
      </c>
      <c r="F817" s="2" t="s">
        <v>2394</v>
      </c>
      <c r="G817" s="2" t="s">
        <v>28</v>
      </c>
      <c r="H817" s="2" t="s">
        <v>14</v>
      </c>
    </row>
    <row r="818" customFormat="false" ht="15" hidden="false" customHeight="false" outlineLevel="0" collapsed="false">
      <c r="A818" s="2" t="n">
        <v>817</v>
      </c>
      <c r="B818" s="5" t="s">
        <v>2395</v>
      </c>
      <c r="C818" s="2" t="s">
        <v>2396</v>
      </c>
      <c r="D818" s="2" t="s">
        <v>2279</v>
      </c>
      <c r="E818" s="2" t="s">
        <v>2397</v>
      </c>
      <c r="F818" s="2" t="s">
        <v>2359</v>
      </c>
      <c r="G818" s="2" t="s">
        <v>28</v>
      </c>
      <c r="H818" s="2" t="s">
        <v>14</v>
      </c>
    </row>
    <row r="819" customFormat="false" ht="15" hidden="false" customHeight="false" outlineLevel="0" collapsed="false">
      <c r="A819" s="2" t="n">
        <v>818</v>
      </c>
      <c r="B819" s="3" t="s">
        <v>2398</v>
      </c>
      <c r="C819" s="2" t="s">
        <v>2399</v>
      </c>
      <c r="D819" s="2" t="s">
        <v>2279</v>
      </c>
      <c r="E819" s="2" t="s">
        <v>2313</v>
      </c>
      <c r="F819" s="4" t="s">
        <v>2400</v>
      </c>
      <c r="G819" s="2" t="s">
        <v>13</v>
      </c>
      <c r="H819" s="2" t="s">
        <v>14</v>
      </c>
    </row>
    <row r="820" customFormat="false" ht="22.35" hidden="false" customHeight="false" outlineLevel="0" collapsed="false">
      <c r="A820" s="2" t="n">
        <v>819</v>
      </c>
      <c r="B820" s="5" t="s">
        <v>2401</v>
      </c>
      <c r="C820" s="2" t="s">
        <v>2402</v>
      </c>
      <c r="D820" s="2" t="s">
        <v>2279</v>
      </c>
      <c r="E820" s="2" t="s">
        <v>2403</v>
      </c>
      <c r="F820" s="2" t="s">
        <v>2365</v>
      </c>
      <c r="G820" s="2" t="s">
        <v>28</v>
      </c>
      <c r="H820" s="2" t="s">
        <v>14</v>
      </c>
    </row>
    <row r="821" customFormat="false" ht="22.35" hidden="false" customHeight="false" outlineLevel="0" collapsed="false">
      <c r="A821" s="2" t="n">
        <v>820</v>
      </c>
      <c r="B821" s="5" t="s">
        <v>2404</v>
      </c>
      <c r="C821" s="2" t="s">
        <v>2405</v>
      </c>
      <c r="D821" s="2" t="s">
        <v>2279</v>
      </c>
      <c r="E821" s="2" t="s">
        <v>2313</v>
      </c>
      <c r="F821" s="2" t="s">
        <v>984</v>
      </c>
      <c r="G821" s="2" t="s">
        <v>28</v>
      </c>
      <c r="H821" s="2" t="s">
        <v>14</v>
      </c>
    </row>
    <row r="822" customFormat="false" ht="22.35" hidden="false" customHeight="false" outlineLevel="0" collapsed="false">
      <c r="A822" s="2" t="n">
        <v>821</v>
      </c>
      <c r="B822" s="5" t="s">
        <v>2406</v>
      </c>
      <c r="C822" s="2" t="s">
        <v>2407</v>
      </c>
      <c r="D822" s="2" t="s">
        <v>2279</v>
      </c>
      <c r="E822" s="2" t="s">
        <v>2313</v>
      </c>
      <c r="F822" s="2" t="s">
        <v>1081</v>
      </c>
      <c r="G822" s="2" t="s">
        <v>28</v>
      </c>
      <c r="H822" s="2" t="s">
        <v>14</v>
      </c>
    </row>
    <row r="823" customFormat="false" ht="22.35" hidden="false" customHeight="false" outlineLevel="0" collapsed="false">
      <c r="A823" s="2" t="n">
        <v>822</v>
      </c>
      <c r="B823" s="5" t="s">
        <v>2408</v>
      </c>
      <c r="C823" s="2" t="s">
        <v>2409</v>
      </c>
      <c r="D823" s="2" t="s">
        <v>2279</v>
      </c>
      <c r="E823" s="2" t="s">
        <v>2313</v>
      </c>
      <c r="F823" s="2" t="s">
        <v>2119</v>
      </c>
      <c r="G823" s="2" t="s">
        <v>13</v>
      </c>
      <c r="H823" s="2" t="s">
        <v>14</v>
      </c>
    </row>
    <row r="824" customFormat="false" ht="22.35" hidden="false" customHeight="false" outlineLevel="0" collapsed="false">
      <c r="A824" s="2" t="n">
        <v>823</v>
      </c>
      <c r="B824" s="5" t="s">
        <v>2410</v>
      </c>
      <c r="C824" s="2" t="s">
        <v>2411</v>
      </c>
      <c r="D824" s="2" t="s">
        <v>2279</v>
      </c>
      <c r="E824" s="2" t="s">
        <v>2412</v>
      </c>
      <c r="F824" s="2" t="s">
        <v>2413</v>
      </c>
      <c r="G824" s="2" t="s">
        <v>13</v>
      </c>
      <c r="H824" s="2" t="s">
        <v>14</v>
      </c>
    </row>
    <row r="825" customFormat="false" ht="15" hidden="false" customHeight="false" outlineLevel="0" collapsed="false">
      <c r="A825" s="2" t="n">
        <v>824</v>
      </c>
      <c r="B825" s="3" t="s">
        <v>2414</v>
      </c>
      <c r="C825" s="2" t="s">
        <v>2415</v>
      </c>
      <c r="D825" s="2" t="s">
        <v>2279</v>
      </c>
      <c r="E825" s="2" t="s">
        <v>1574</v>
      </c>
      <c r="F825" s="4" t="s">
        <v>1509</v>
      </c>
      <c r="G825" s="2" t="s">
        <v>28</v>
      </c>
      <c r="H825" s="2" t="s">
        <v>14</v>
      </c>
    </row>
    <row r="826" customFormat="false" ht="32.8" hidden="false" customHeight="false" outlineLevel="0" collapsed="false">
      <c r="A826" s="2" t="n">
        <v>825</v>
      </c>
      <c r="B826" s="3" t="s">
        <v>2416</v>
      </c>
      <c r="C826" s="2" t="s">
        <v>2417</v>
      </c>
      <c r="D826" s="2" t="s">
        <v>2069</v>
      </c>
      <c r="E826" s="2" t="s">
        <v>2418</v>
      </c>
      <c r="F826" s="4" t="s">
        <v>214</v>
      </c>
      <c r="G826" s="2" t="s">
        <v>13</v>
      </c>
      <c r="H826" s="2" t="s">
        <v>14</v>
      </c>
    </row>
    <row r="827" customFormat="false" ht="15" hidden="false" customHeight="false" outlineLevel="0" collapsed="false">
      <c r="A827" s="2" t="n">
        <v>826</v>
      </c>
      <c r="B827" s="5" t="s">
        <v>2419</v>
      </c>
      <c r="C827" s="2" t="s">
        <v>2420</v>
      </c>
      <c r="D827" s="2" t="s">
        <v>2069</v>
      </c>
      <c r="E827" s="2" t="s">
        <v>2421</v>
      </c>
      <c r="F827" s="2" t="s">
        <v>2422</v>
      </c>
      <c r="G827" s="2" t="s">
        <v>13</v>
      </c>
      <c r="H827" s="2" t="s">
        <v>14</v>
      </c>
    </row>
    <row r="828" customFormat="false" ht="22.35" hidden="false" customHeight="false" outlineLevel="0" collapsed="false">
      <c r="A828" s="2" t="n">
        <v>827</v>
      </c>
      <c r="B828" s="3" t="s">
        <v>2423</v>
      </c>
      <c r="C828" s="2" t="s">
        <v>2424</v>
      </c>
      <c r="D828" s="2" t="s">
        <v>2275</v>
      </c>
      <c r="E828" s="2" t="s">
        <v>1770</v>
      </c>
      <c r="F828" s="4" t="s">
        <v>2425</v>
      </c>
      <c r="G828" s="2" t="s">
        <v>13</v>
      </c>
      <c r="H828" s="2" t="s">
        <v>14</v>
      </c>
    </row>
    <row r="829" customFormat="false" ht="22.35" hidden="false" customHeight="false" outlineLevel="0" collapsed="false">
      <c r="A829" s="2" t="n">
        <v>828</v>
      </c>
      <c r="B829" s="5" t="s">
        <v>2426</v>
      </c>
      <c r="C829" s="2" t="s">
        <v>2427</v>
      </c>
      <c r="D829" s="2" t="s">
        <v>2279</v>
      </c>
      <c r="E829" s="2" t="s">
        <v>2428</v>
      </c>
      <c r="F829" s="2" t="s">
        <v>2429</v>
      </c>
      <c r="G829" s="2" t="s">
        <v>28</v>
      </c>
      <c r="H829" s="2" t="s">
        <v>14</v>
      </c>
    </row>
    <row r="830" customFormat="false" ht="22.35" hidden="false" customHeight="false" outlineLevel="0" collapsed="false">
      <c r="A830" s="2" t="n">
        <v>829</v>
      </c>
      <c r="B830" s="5" t="s">
        <v>2430</v>
      </c>
      <c r="C830" s="2" t="s">
        <v>2431</v>
      </c>
      <c r="D830" s="2" t="s">
        <v>2279</v>
      </c>
      <c r="E830" s="2" t="s">
        <v>2313</v>
      </c>
      <c r="F830" s="2" t="s">
        <v>2432</v>
      </c>
      <c r="G830" s="2" t="s">
        <v>28</v>
      </c>
      <c r="H830" s="2" t="s">
        <v>14</v>
      </c>
    </row>
    <row r="831" customFormat="false" ht="22.35" hidden="false" customHeight="false" outlineLevel="0" collapsed="false">
      <c r="A831" s="2" t="n">
        <v>830</v>
      </c>
      <c r="B831" s="5" t="s">
        <v>2433</v>
      </c>
      <c r="C831" s="2" t="s">
        <v>2434</v>
      </c>
      <c r="D831" s="2" t="s">
        <v>2279</v>
      </c>
      <c r="E831" s="2" t="s">
        <v>1229</v>
      </c>
      <c r="F831" s="2" t="s">
        <v>124</v>
      </c>
      <c r="G831" s="2" t="s">
        <v>28</v>
      </c>
      <c r="H831" s="2" t="s">
        <v>14</v>
      </c>
    </row>
    <row r="832" customFormat="false" ht="22.35" hidden="false" customHeight="false" outlineLevel="0" collapsed="false">
      <c r="A832" s="2" t="n">
        <v>831</v>
      </c>
      <c r="B832" s="5" t="s">
        <v>2435</v>
      </c>
      <c r="C832" s="2" t="s">
        <v>2436</v>
      </c>
      <c r="D832" s="2" t="s">
        <v>2279</v>
      </c>
      <c r="E832" s="2" t="s">
        <v>2437</v>
      </c>
      <c r="F832" s="2" t="s">
        <v>2438</v>
      </c>
      <c r="G832" s="2" t="s">
        <v>13</v>
      </c>
      <c r="H832" s="2" t="s">
        <v>14</v>
      </c>
    </row>
    <row r="833" customFormat="false" ht="22.35" hidden="false" customHeight="false" outlineLevel="0" collapsed="false">
      <c r="A833" s="2" t="n">
        <v>832</v>
      </c>
      <c r="B833" s="5" t="s">
        <v>2439</v>
      </c>
      <c r="C833" s="2" t="s">
        <v>2440</v>
      </c>
      <c r="D833" s="2" t="s">
        <v>2279</v>
      </c>
      <c r="E833" s="2" t="s">
        <v>2322</v>
      </c>
      <c r="F833" s="2" t="s">
        <v>2119</v>
      </c>
      <c r="G833" s="2" t="s">
        <v>28</v>
      </c>
      <c r="H833" s="2" t="s">
        <v>14</v>
      </c>
    </row>
    <row r="834" customFormat="false" ht="22.35" hidden="false" customHeight="false" outlineLevel="0" collapsed="false">
      <c r="A834" s="2" t="n">
        <v>833</v>
      </c>
      <c r="B834" s="5" t="s">
        <v>2441</v>
      </c>
      <c r="C834" s="2" t="s">
        <v>2442</v>
      </c>
      <c r="D834" s="2" t="s">
        <v>2279</v>
      </c>
      <c r="E834" s="2" t="s">
        <v>2334</v>
      </c>
      <c r="F834" s="2" t="s">
        <v>2443</v>
      </c>
      <c r="G834" s="2" t="s">
        <v>28</v>
      </c>
      <c r="H834" s="2" t="s">
        <v>14</v>
      </c>
    </row>
    <row r="835" customFormat="false" ht="22.35" hidden="false" customHeight="false" outlineLevel="0" collapsed="false">
      <c r="A835" s="2" t="n">
        <v>834</v>
      </c>
      <c r="B835" s="5" t="s">
        <v>2444</v>
      </c>
      <c r="C835" s="2" t="s">
        <v>2445</v>
      </c>
      <c r="D835" s="2" t="s">
        <v>2279</v>
      </c>
      <c r="E835" s="2" t="s">
        <v>2313</v>
      </c>
      <c r="F835" s="2" t="s">
        <v>638</v>
      </c>
      <c r="G835" s="2" t="s">
        <v>28</v>
      </c>
      <c r="H835" s="2" t="s">
        <v>14</v>
      </c>
    </row>
    <row r="836" customFormat="false" ht="22.35" hidden="false" customHeight="false" outlineLevel="0" collapsed="false">
      <c r="A836" s="2" t="n">
        <v>835</v>
      </c>
      <c r="B836" s="5" t="s">
        <v>2446</v>
      </c>
      <c r="C836" s="2" t="s">
        <v>2447</v>
      </c>
      <c r="D836" s="2" t="s">
        <v>2279</v>
      </c>
      <c r="E836" s="2" t="s">
        <v>2403</v>
      </c>
      <c r="F836" s="2" t="s">
        <v>2365</v>
      </c>
      <c r="G836" s="2" t="s">
        <v>28</v>
      </c>
      <c r="H836" s="2" t="s">
        <v>14</v>
      </c>
    </row>
    <row r="837" customFormat="false" ht="22.35" hidden="false" customHeight="false" outlineLevel="0" collapsed="false">
      <c r="A837" s="2" t="n">
        <v>836</v>
      </c>
      <c r="B837" s="5" t="s">
        <v>2448</v>
      </c>
      <c r="C837" s="2" t="s">
        <v>2449</v>
      </c>
      <c r="D837" s="2" t="s">
        <v>2279</v>
      </c>
      <c r="E837" s="2" t="s">
        <v>2313</v>
      </c>
      <c r="F837" s="2" t="s">
        <v>244</v>
      </c>
      <c r="G837" s="2" t="s">
        <v>13</v>
      </c>
      <c r="H837" s="2" t="s">
        <v>14</v>
      </c>
    </row>
    <row r="838" customFormat="false" ht="15" hidden="false" customHeight="false" outlineLevel="0" collapsed="false">
      <c r="A838" s="2" t="n">
        <v>837</v>
      </c>
      <c r="B838" s="5" t="s">
        <v>2450</v>
      </c>
      <c r="C838" s="2" t="s">
        <v>2451</v>
      </c>
      <c r="D838" s="2" t="s">
        <v>2279</v>
      </c>
      <c r="E838" s="2" t="s">
        <v>2313</v>
      </c>
      <c r="F838" s="2" t="s">
        <v>21</v>
      </c>
      <c r="G838" s="2" t="s">
        <v>13</v>
      </c>
      <c r="H838" s="2" t="s">
        <v>14</v>
      </c>
    </row>
    <row r="839" customFormat="false" ht="22.35" hidden="false" customHeight="false" outlineLevel="0" collapsed="false">
      <c r="A839" s="2" t="n">
        <v>838</v>
      </c>
      <c r="B839" s="3" t="s">
        <v>2452</v>
      </c>
      <c r="C839" s="2" t="s">
        <v>2453</v>
      </c>
      <c r="D839" s="2" t="s">
        <v>2279</v>
      </c>
      <c r="E839" s="2" t="s">
        <v>2313</v>
      </c>
      <c r="F839" s="4" t="s">
        <v>2454</v>
      </c>
      <c r="G839" s="2" t="s">
        <v>13</v>
      </c>
      <c r="H839" s="2" t="s">
        <v>14</v>
      </c>
    </row>
    <row r="840" customFormat="false" ht="22.35" hidden="false" customHeight="false" outlineLevel="0" collapsed="false">
      <c r="A840" s="2" t="n">
        <v>839</v>
      </c>
      <c r="B840" s="5" t="s">
        <v>2455</v>
      </c>
      <c r="C840" s="2" t="s">
        <v>2456</v>
      </c>
      <c r="D840" s="2" t="s">
        <v>2279</v>
      </c>
      <c r="E840" s="2" t="s">
        <v>2457</v>
      </c>
      <c r="F840" s="2" t="s">
        <v>2458</v>
      </c>
      <c r="G840" s="2" t="s">
        <v>13</v>
      </c>
      <c r="H840" s="2" t="s">
        <v>14</v>
      </c>
    </row>
    <row r="841" customFormat="false" ht="15" hidden="false" customHeight="false" outlineLevel="0" collapsed="false">
      <c r="A841" s="2" t="n">
        <v>840</v>
      </c>
      <c r="B841" s="5" t="s">
        <v>2459</v>
      </c>
      <c r="C841" s="2" t="s">
        <v>2460</v>
      </c>
      <c r="D841" s="2" t="s">
        <v>2279</v>
      </c>
      <c r="E841" s="2" t="s">
        <v>2461</v>
      </c>
      <c r="F841" s="2" t="s">
        <v>2462</v>
      </c>
      <c r="G841" s="2" t="s">
        <v>13</v>
      </c>
      <c r="H841" s="2" t="s">
        <v>14</v>
      </c>
    </row>
    <row r="842" customFormat="false" ht="22.35" hidden="false" customHeight="false" outlineLevel="0" collapsed="false">
      <c r="A842" s="2" t="n">
        <v>841</v>
      </c>
      <c r="B842" s="5" t="s">
        <v>2463</v>
      </c>
      <c r="C842" s="2" t="s">
        <v>2464</v>
      </c>
      <c r="D842" s="2" t="s">
        <v>2279</v>
      </c>
      <c r="E842" s="2" t="s">
        <v>2313</v>
      </c>
      <c r="F842" s="2" t="s">
        <v>2465</v>
      </c>
      <c r="G842" s="2" t="s">
        <v>13</v>
      </c>
      <c r="H842" s="2" t="s">
        <v>14</v>
      </c>
    </row>
    <row r="843" customFormat="false" ht="22.35" hidden="false" customHeight="false" outlineLevel="0" collapsed="false">
      <c r="A843" s="2" t="n">
        <v>842</v>
      </c>
      <c r="B843" s="5" t="s">
        <v>2466</v>
      </c>
      <c r="C843" s="2" t="s">
        <v>2467</v>
      </c>
      <c r="D843" s="2" t="s">
        <v>2468</v>
      </c>
      <c r="E843" s="2" t="s">
        <v>2469</v>
      </c>
      <c r="F843" s="2" t="s">
        <v>2298</v>
      </c>
      <c r="G843" s="2" t="s">
        <v>28</v>
      </c>
      <c r="H843" s="2" t="s">
        <v>14</v>
      </c>
    </row>
    <row r="844" customFormat="false" ht="15" hidden="false" customHeight="false" outlineLevel="0" collapsed="false">
      <c r="A844" s="2" t="n">
        <v>843</v>
      </c>
      <c r="B844" s="5" t="s">
        <v>2470</v>
      </c>
      <c r="C844" s="2" t="s">
        <v>2471</v>
      </c>
      <c r="D844" s="2" t="s">
        <v>2279</v>
      </c>
      <c r="E844" s="2" t="s">
        <v>1574</v>
      </c>
      <c r="F844" s="2" t="s">
        <v>2472</v>
      </c>
      <c r="G844" s="2" t="s">
        <v>28</v>
      </c>
      <c r="H844" s="2" t="s">
        <v>14</v>
      </c>
    </row>
    <row r="845" customFormat="false" ht="22.35" hidden="false" customHeight="false" outlineLevel="0" collapsed="false">
      <c r="A845" s="2" t="n">
        <v>844</v>
      </c>
      <c r="B845" s="3" t="s">
        <v>2473</v>
      </c>
      <c r="C845" s="2" t="s">
        <v>2474</v>
      </c>
      <c r="D845" s="2" t="s">
        <v>10</v>
      </c>
      <c r="E845" s="2" t="s">
        <v>2475</v>
      </c>
      <c r="F845" s="4" t="s">
        <v>2476</v>
      </c>
      <c r="G845" s="2" t="s">
        <v>28</v>
      </c>
      <c r="H845" s="2" t="s">
        <v>14</v>
      </c>
    </row>
    <row r="846" customFormat="false" ht="15" hidden="false" customHeight="false" outlineLevel="0" collapsed="false">
      <c r="A846" s="2" t="n">
        <v>845</v>
      </c>
      <c r="B846" s="5" t="s">
        <v>2477</v>
      </c>
      <c r="C846" s="2" t="s">
        <v>2478</v>
      </c>
      <c r="D846" s="2" t="s">
        <v>2479</v>
      </c>
      <c r="E846" s="2" t="s">
        <v>1574</v>
      </c>
      <c r="F846" s="2" t="s">
        <v>2472</v>
      </c>
      <c r="G846" s="2" t="s">
        <v>28</v>
      </c>
      <c r="H846" s="2" t="s">
        <v>14</v>
      </c>
    </row>
    <row r="847" customFormat="false" ht="22.35" hidden="false" customHeight="false" outlineLevel="0" collapsed="false">
      <c r="A847" s="2" t="n">
        <v>846</v>
      </c>
      <c r="B847" s="5" t="s">
        <v>2480</v>
      </c>
      <c r="C847" s="2" t="s">
        <v>2481</v>
      </c>
      <c r="D847" s="2" t="s">
        <v>2279</v>
      </c>
      <c r="E847" s="2" t="s">
        <v>2482</v>
      </c>
      <c r="F847" s="2" t="s">
        <v>2483</v>
      </c>
      <c r="G847" s="2" t="s">
        <v>28</v>
      </c>
      <c r="H847" s="2" t="s">
        <v>14</v>
      </c>
    </row>
    <row r="848" customFormat="false" ht="22.35" hidden="false" customHeight="false" outlineLevel="0" collapsed="false">
      <c r="A848" s="2" t="n">
        <v>847</v>
      </c>
      <c r="B848" s="3" t="s">
        <v>2484</v>
      </c>
      <c r="C848" s="2" t="s">
        <v>2485</v>
      </c>
      <c r="D848" s="2" t="s">
        <v>2279</v>
      </c>
      <c r="E848" s="2" t="s">
        <v>1574</v>
      </c>
      <c r="F848" s="4" t="s">
        <v>2486</v>
      </c>
      <c r="G848" s="2" t="s">
        <v>28</v>
      </c>
      <c r="H848" s="2" t="s">
        <v>14</v>
      </c>
    </row>
    <row r="849" customFormat="false" ht="22.35" hidden="false" customHeight="false" outlineLevel="0" collapsed="false">
      <c r="A849" s="2" t="n">
        <v>848</v>
      </c>
      <c r="B849" s="3" t="s">
        <v>2487</v>
      </c>
      <c r="C849" s="2" t="s">
        <v>2488</v>
      </c>
      <c r="D849" s="2" t="s">
        <v>2279</v>
      </c>
      <c r="E849" s="2" t="s">
        <v>2489</v>
      </c>
      <c r="F849" s="4" t="s">
        <v>2078</v>
      </c>
      <c r="G849" s="2" t="s">
        <v>13</v>
      </c>
      <c r="H849" s="2" t="s">
        <v>14</v>
      </c>
    </row>
    <row r="850" customFormat="false" ht="22.35" hidden="false" customHeight="false" outlineLevel="0" collapsed="false">
      <c r="A850" s="2" t="n">
        <v>849</v>
      </c>
      <c r="B850" s="5" t="s">
        <v>2490</v>
      </c>
      <c r="C850" s="2" t="s">
        <v>2491</v>
      </c>
      <c r="D850" s="2" t="s">
        <v>2279</v>
      </c>
      <c r="E850" s="2" t="s">
        <v>1616</v>
      </c>
      <c r="F850" s="2" t="s">
        <v>2492</v>
      </c>
      <c r="G850" s="2" t="s">
        <v>28</v>
      </c>
      <c r="H850" s="2" t="s">
        <v>14</v>
      </c>
    </row>
    <row r="851" customFormat="false" ht="22.35" hidden="false" customHeight="false" outlineLevel="0" collapsed="false">
      <c r="A851" s="2" t="n">
        <v>850</v>
      </c>
      <c r="B851" s="5" t="s">
        <v>2493</v>
      </c>
      <c r="C851" s="2" t="s">
        <v>2494</v>
      </c>
      <c r="D851" s="2" t="s">
        <v>2279</v>
      </c>
      <c r="E851" s="2" t="s">
        <v>1616</v>
      </c>
      <c r="F851" s="2" t="s">
        <v>2495</v>
      </c>
      <c r="G851" s="2" t="s">
        <v>13</v>
      </c>
      <c r="H851" s="2" t="s">
        <v>14</v>
      </c>
    </row>
    <row r="852" customFormat="false" ht="22.35" hidden="false" customHeight="false" outlineLevel="0" collapsed="false">
      <c r="A852" s="2" t="n">
        <v>851</v>
      </c>
      <c r="B852" s="3" t="s">
        <v>2496</v>
      </c>
      <c r="C852" s="2" t="s">
        <v>2497</v>
      </c>
      <c r="D852" s="2" t="s">
        <v>2279</v>
      </c>
      <c r="E852" s="2" t="s">
        <v>1574</v>
      </c>
      <c r="F852" s="4" t="s">
        <v>2498</v>
      </c>
      <c r="G852" s="2" t="s">
        <v>13</v>
      </c>
      <c r="H852" s="2" t="s">
        <v>14</v>
      </c>
    </row>
    <row r="853" customFormat="false" ht="22.35" hidden="false" customHeight="false" outlineLevel="0" collapsed="false">
      <c r="A853" s="2" t="n">
        <v>852</v>
      </c>
      <c r="B853" s="3" t="s">
        <v>2499</v>
      </c>
      <c r="C853" s="2" t="s">
        <v>2500</v>
      </c>
      <c r="D853" s="2" t="s">
        <v>2279</v>
      </c>
      <c r="E853" s="2" t="s">
        <v>2501</v>
      </c>
      <c r="F853" s="4" t="s">
        <v>2502</v>
      </c>
      <c r="G853" s="2" t="s">
        <v>28</v>
      </c>
      <c r="H853" s="2" t="s">
        <v>14</v>
      </c>
    </row>
    <row r="854" customFormat="false" ht="22.35" hidden="false" customHeight="false" outlineLevel="0" collapsed="false">
      <c r="A854" s="2" t="n">
        <v>853</v>
      </c>
      <c r="B854" s="3" t="s">
        <v>2503</v>
      </c>
      <c r="C854" s="2" t="s">
        <v>2504</v>
      </c>
      <c r="D854" s="2" t="s">
        <v>2279</v>
      </c>
      <c r="E854" s="2" t="s">
        <v>2501</v>
      </c>
      <c r="F854" s="4" t="s">
        <v>2505</v>
      </c>
      <c r="G854" s="2" t="s">
        <v>28</v>
      </c>
      <c r="H854" s="2" t="s">
        <v>14</v>
      </c>
    </row>
    <row r="855" customFormat="false" ht="22.35" hidden="false" customHeight="false" outlineLevel="0" collapsed="false">
      <c r="A855" s="2" t="n">
        <v>854</v>
      </c>
      <c r="B855" s="5" t="s">
        <v>2506</v>
      </c>
      <c r="C855" s="2" t="s">
        <v>2507</v>
      </c>
      <c r="D855" s="2" t="s">
        <v>2279</v>
      </c>
      <c r="E855" s="2" t="s">
        <v>1574</v>
      </c>
      <c r="F855" s="2" t="s">
        <v>2119</v>
      </c>
      <c r="G855" s="2" t="s">
        <v>28</v>
      </c>
      <c r="H855" s="2" t="s">
        <v>14</v>
      </c>
    </row>
    <row r="856" customFormat="false" ht="22.35" hidden="false" customHeight="false" outlineLevel="0" collapsed="false">
      <c r="A856" s="2" t="n">
        <v>855</v>
      </c>
      <c r="B856" s="5" t="s">
        <v>2508</v>
      </c>
      <c r="C856" s="2" t="s">
        <v>2509</v>
      </c>
      <c r="D856" s="2" t="s">
        <v>2279</v>
      </c>
      <c r="E856" s="2" t="s">
        <v>2510</v>
      </c>
      <c r="F856" s="2" t="s">
        <v>2511</v>
      </c>
      <c r="G856" s="2" t="s">
        <v>28</v>
      </c>
      <c r="H856" s="2" t="s">
        <v>14</v>
      </c>
    </row>
    <row r="857" customFormat="false" ht="22.35" hidden="false" customHeight="false" outlineLevel="0" collapsed="false">
      <c r="A857" s="2" t="n">
        <v>856</v>
      </c>
      <c r="B857" s="5" t="s">
        <v>2512</v>
      </c>
      <c r="C857" s="2" t="s">
        <v>2513</v>
      </c>
      <c r="D857" s="2" t="s">
        <v>2279</v>
      </c>
      <c r="E857" s="2" t="s">
        <v>844</v>
      </c>
      <c r="F857" s="2" t="s">
        <v>2514</v>
      </c>
      <c r="G857" s="2" t="s">
        <v>28</v>
      </c>
      <c r="H857" s="2" t="s">
        <v>14</v>
      </c>
    </row>
    <row r="858" customFormat="false" ht="15" hidden="false" customHeight="false" outlineLevel="0" collapsed="false">
      <c r="A858" s="2" t="n">
        <v>857</v>
      </c>
      <c r="B858" s="5" t="s">
        <v>2515</v>
      </c>
      <c r="C858" s="2" t="s">
        <v>2516</v>
      </c>
      <c r="D858" s="2" t="s">
        <v>2279</v>
      </c>
      <c r="E858" s="2" t="s">
        <v>2517</v>
      </c>
      <c r="F858" s="2" t="s">
        <v>2518</v>
      </c>
      <c r="G858" s="2" t="s">
        <v>28</v>
      </c>
      <c r="H858" s="2" t="s">
        <v>14</v>
      </c>
    </row>
    <row r="859" customFormat="false" ht="15" hidden="false" customHeight="false" outlineLevel="0" collapsed="false">
      <c r="A859" s="2" t="n">
        <v>858</v>
      </c>
      <c r="B859" s="5" t="s">
        <v>2519</v>
      </c>
      <c r="C859" s="2" t="s">
        <v>2520</v>
      </c>
      <c r="D859" s="2" t="s">
        <v>2279</v>
      </c>
      <c r="E859" s="2" t="s">
        <v>2521</v>
      </c>
      <c r="F859" s="2" t="s">
        <v>2472</v>
      </c>
      <c r="G859" s="2" t="s">
        <v>28</v>
      </c>
      <c r="H859" s="2" t="s">
        <v>14</v>
      </c>
    </row>
    <row r="860" customFormat="false" ht="22.35" hidden="false" customHeight="false" outlineLevel="0" collapsed="false">
      <c r="A860" s="2" t="n">
        <v>859</v>
      </c>
      <c r="B860" s="3" t="s">
        <v>2522</v>
      </c>
      <c r="C860" s="2" t="s">
        <v>2523</v>
      </c>
      <c r="D860" s="2" t="s">
        <v>2279</v>
      </c>
      <c r="E860" s="2" t="s">
        <v>858</v>
      </c>
      <c r="F860" s="4" t="s">
        <v>1613</v>
      </c>
      <c r="G860" s="2" t="s">
        <v>28</v>
      </c>
      <c r="H860" s="2" t="s">
        <v>14</v>
      </c>
    </row>
    <row r="861" customFormat="false" ht="15" hidden="false" customHeight="false" outlineLevel="0" collapsed="false">
      <c r="A861" s="2" t="n">
        <v>860</v>
      </c>
      <c r="B861" s="5" t="s">
        <v>2524</v>
      </c>
      <c r="C861" s="2" t="s">
        <v>2525</v>
      </c>
      <c r="D861" s="2" t="s">
        <v>2279</v>
      </c>
      <c r="E861" s="2" t="s">
        <v>858</v>
      </c>
      <c r="F861" s="2" t="s">
        <v>2526</v>
      </c>
      <c r="G861" s="2" t="s">
        <v>13</v>
      </c>
      <c r="H861" s="2" t="s">
        <v>14</v>
      </c>
    </row>
    <row r="862" customFormat="false" ht="22.35" hidden="false" customHeight="false" outlineLevel="0" collapsed="false">
      <c r="A862" s="2" t="n">
        <v>861</v>
      </c>
      <c r="B862" s="5" t="s">
        <v>2527</v>
      </c>
      <c r="C862" s="2" t="s">
        <v>2528</v>
      </c>
      <c r="D862" s="2" t="s">
        <v>2279</v>
      </c>
      <c r="E862" s="2" t="s">
        <v>858</v>
      </c>
      <c r="F862" s="2" t="s">
        <v>2529</v>
      </c>
      <c r="G862" s="2" t="s">
        <v>13</v>
      </c>
      <c r="H862" s="2" t="s">
        <v>14</v>
      </c>
    </row>
    <row r="863" customFormat="false" ht="22.35" hidden="false" customHeight="false" outlineLevel="0" collapsed="false">
      <c r="A863" s="2" t="n">
        <v>862</v>
      </c>
      <c r="B863" s="5" t="s">
        <v>2530</v>
      </c>
      <c r="C863" s="2" t="s">
        <v>2531</v>
      </c>
      <c r="D863" s="2" t="s">
        <v>2279</v>
      </c>
      <c r="E863" s="2" t="s">
        <v>858</v>
      </c>
      <c r="F863" s="2" t="s">
        <v>2532</v>
      </c>
      <c r="G863" s="2" t="s">
        <v>13</v>
      </c>
      <c r="H863" s="2" t="s">
        <v>14</v>
      </c>
    </row>
    <row r="864" customFormat="false" ht="22.35" hidden="false" customHeight="false" outlineLevel="0" collapsed="false">
      <c r="A864" s="2" t="n">
        <v>863</v>
      </c>
      <c r="B864" s="3" t="s">
        <v>2533</v>
      </c>
      <c r="C864" s="2" t="s">
        <v>2534</v>
      </c>
      <c r="D864" s="2" t="s">
        <v>2279</v>
      </c>
      <c r="E864" s="2" t="s">
        <v>1574</v>
      </c>
      <c r="F864" s="4" t="s">
        <v>2535</v>
      </c>
      <c r="G864" s="2" t="s">
        <v>28</v>
      </c>
      <c r="H864" s="2" t="s">
        <v>14</v>
      </c>
    </row>
    <row r="865" customFormat="false" ht="22.35" hidden="false" customHeight="false" outlineLevel="0" collapsed="false">
      <c r="A865" s="2" t="n">
        <v>864</v>
      </c>
      <c r="B865" s="5" t="s">
        <v>2536</v>
      </c>
      <c r="C865" s="2" t="s">
        <v>2537</v>
      </c>
      <c r="D865" s="2" t="s">
        <v>2279</v>
      </c>
      <c r="E865" s="2" t="s">
        <v>923</v>
      </c>
      <c r="F865" s="2" t="s">
        <v>2538</v>
      </c>
      <c r="G865" s="2" t="s">
        <v>28</v>
      </c>
      <c r="H865" s="2" t="s">
        <v>14</v>
      </c>
    </row>
    <row r="866" customFormat="false" ht="15" hidden="false" customHeight="false" outlineLevel="0" collapsed="false">
      <c r="A866" s="2" t="n">
        <v>865</v>
      </c>
      <c r="B866" s="3" t="s">
        <v>2539</v>
      </c>
      <c r="C866" s="2" t="s">
        <v>2540</v>
      </c>
      <c r="D866" s="2" t="s">
        <v>2279</v>
      </c>
      <c r="E866" s="2" t="s">
        <v>1327</v>
      </c>
      <c r="F866" s="4" t="s">
        <v>2541</v>
      </c>
      <c r="G866" s="2" t="s">
        <v>13</v>
      </c>
      <c r="H866" s="2" t="s">
        <v>14</v>
      </c>
    </row>
    <row r="867" customFormat="false" ht="15" hidden="false" customHeight="false" outlineLevel="0" collapsed="false">
      <c r="A867" s="2" t="n">
        <v>866</v>
      </c>
      <c r="B867" s="5" t="s">
        <v>2542</v>
      </c>
      <c r="C867" s="2" t="s">
        <v>2543</v>
      </c>
      <c r="D867" s="2" t="s">
        <v>2279</v>
      </c>
      <c r="E867" s="2" t="s">
        <v>2544</v>
      </c>
      <c r="F867" s="2" t="s">
        <v>2545</v>
      </c>
      <c r="G867" s="2" t="s">
        <v>13</v>
      </c>
      <c r="H867" s="2" t="s">
        <v>14</v>
      </c>
    </row>
    <row r="868" customFormat="false" ht="22.35" hidden="false" customHeight="false" outlineLevel="0" collapsed="false">
      <c r="A868" s="2" t="n">
        <v>867</v>
      </c>
      <c r="B868" s="5" t="s">
        <v>2546</v>
      </c>
      <c r="C868" s="2" t="s">
        <v>2547</v>
      </c>
      <c r="D868" s="2" t="s">
        <v>2279</v>
      </c>
      <c r="E868" s="2" t="s">
        <v>2548</v>
      </c>
      <c r="F868" s="2" t="s">
        <v>2549</v>
      </c>
      <c r="G868" s="2" t="s">
        <v>13</v>
      </c>
      <c r="H868" s="2" t="s">
        <v>14</v>
      </c>
    </row>
    <row r="869" customFormat="false" ht="22.35" hidden="false" customHeight="false" outlineLevel="0" collapsed="false">
      <c r="A869" s="2" t="n">
        <v>868</v>
      </c>
      <c r="B869" s="5" t="s">
        <v>2550</v>
      </c>
      <c r="C869" s="2" t="s">
        <v>2551</v>
      </c>
      <c r="D869" s="2" t="s">
        <v>2279</v>
      </c>
      <c r="E869" s="2" t="s">
        <v>844</v>
      </c>
      <c r="F869" s="2" t="s">
        <v>2552</v>
      </c>
      <c r="G869" s="2" t="s">
        <v>28</v>
      </c>
      <c r="H869" s="2" t="s">
        <v>14</v>
      </c>
    </row>
    <row r="870" customFormat="false" ht="22.35" hidden="false" customHeight="false" outlineLevel="0" collapsed="false">
      <c r="A870" s="2" t="n">
        <v>869</v>
      </c>
      <c r="B870" s="5" t="s">
        <v>2553</v>
      </c>
      <c r="C870" s="2" t="s">
        <v>2554</v>
      </c>
      <c r="D870" s="2" t="s">
        <v>2279</v>
      </c>
      <c r="E870" s="2" t="s">
        <v>2313</v>
      </c>
      <c r="F870" s="2" t="s">
        <v>984</v>
      </c>
      <c r="G870" s="2" t="s">
        <v>28</v>
      </c>
      <c r="H870" s="2" t="s">
        <v>14</v>
      </c>
    </row>
    <row r="871" customFormat="false" ht="22.35" hidden="false" customHeight="false" outlineLevel="0" collapsed="false">
      <c r="A871" s="2" t="n">
        <v>870</v>
      </c>
      <c r="B871" s="5" t="s">
        <v>2555</v>
      </c>
      <c r="C871" s="2" t="s">
        <v>2556</v>
      </c>
      <c r="D871" s="2" t="s">
        <v>2279</v>
      </c>
      <c r="E871" s="2" t="s">
        <v>2548</v>
      </c>
      <c r="F871" s="2" t="s">
        <v>2119</v>
      </c>
      <c r="G871" s="2" t="s">
        <v>13</v>
      </c>
      <c r="H871" s="2" t="s">
        <v>14</v>
      </c>
    </row>
    <row r="872" customFormat="false" ht="15" hidden="false" customHeight="false" outlineLevel="0" collapsed="false">
      <c r="A872" s="2" t="n">
        <v>871</v>
      </c>
      <c r="B872" s="5" t="s">
        <v>2557</v>
      </c>
      <c r="C872" s="2" t="s">
        <v>2558</v>
      </c>
      <c r="D872" s="2" t="s">
        <v>2279</v>
      </c>
      <c r="E872" s="2" t="s">
        <v>2313</v>
      </c>
      <c r="F872" s="2" t="s">
        <v>862</v>
      </c>
      <c r="G872" s="2" t="s">
        <v>13</v>
      </c>
      <c r="H872" s="2" t="s">
        <v>14</v>
      </c>
    </row>
    <row r="873" customFormat="false" ht="15" hidden="false" customHeight="false" outlineLevel="0" collapsed="false">
      <c r="A873" s="2" t="n">
        <v>872</v>
      </c>
      <c r="B873" s="5" t="s">
        <v>2559</v>
      </c>
      <c r="C873" s="2" t="s">
        <v>2560</v>
      </c>
      <c r="D873" s="2" t="s">
        <v>2279</v>
      </c>
      <c r="E873" s="2" t="s">
        <v>1195</v>
      </c>
      <c r="F873" s="2" t="s">
        <v>2561</v>
      </c>
      <c r="G873" s="2" t="s">
        <v>28</v>
      </c>
      <c r="H873" s="2" t="s">
        <v>14</v>
      </c>
    </row>
    <row r="874" customFormat="false" ht="22.35" hidden="false" customHeight="false" outlineLevel="0" collapsed="false">
      <c r="A874" s="2" t="n">
        <v>873</v>
      </c>
      <c r="B874" s="5" t="s">
        <v>2562</v>
      </c>
      <c r="C874" s="2" t="s">
        <v>2563</v>
      </c>
      <c r="D874" s="2" t="s">
        <v>2279</v>
      </c>
      <c r="E874" s="2" t="s">
        <v>1195</v>
      </c>
      <c r="F874" s="2" t="s">
        <v>2564</v>
      </c>
      <c r="G874" s="2" t="s">
        <v>28</v>
      </c>
      <c r="H874" s="2" t="s">
        <v>14</v>
      </c>
    </row>
    <row r="875" customFormat="false" ht="22.35" hidden="false" customHeight="false" outlineLevel="0" collapsed="false">
      <c r="A875" s="2" t="n">
        <v>874</v>
      </c>
      <c r="B875" s="5" t="s">
        <v>2565</v>
      </c>
      <c r="C875" s="2" t="s">
        <v>2566</v>
      </c>
      <c r="D875" s="2" t="s">
        <v>2279</v>
      </c>
      <c r="E875" s="2" t="s">
        <v>2313</v>
      </c>
      <c r="F875" s="2" t="s">
        <v>1218</v>
      </c>
      <c r="G875" s="2" t="s">
        <v>13</v>
      </c>
      <c r="H875" s="2" t="s">
        <v>14</v>
      </c>
    </row>
    <row r="876" customFormat="false" ht="22.35" hidden="false" customHeight="false" outlineLevel="0" collapsed="false">
      <c r="A876" s="2" t="n">
        <v>875</v>
      </c>
      <c r="B876" s="5" t="s">
        <v>2567</v>
      </c>
      <c r="C876" s="2" t="s">
        <v>2568</v>
      </c>
      <c r="D876" s="2" t="s">
        <v>2279</v>
      </c>
      <c r="E876" s="2" t="s">
        <v>2548</v>
      </c>
      <c r="F876" s="2" t="s">
        <v>92</v>
      </c>
      <c r="G876" s="2" t="s">
        <v>13</v>
      </c>
      <c r="H876" s="2" t="s">
        <v>14</v>
      </c>
    </row>
    <row r="877" customFormat="false" ht="15" hidden="false" customHeight="false" outlineLevel="0" collapsed="false">
      <c r="A877" s="2" t="n">
        <v>876</v>
      </c>
      <c r="B877" s="5" t="s">
        <v>2569</v>
      </c>
      <c r="C877" s="2" t="s">
        <v>2570</v>
      </c>
      <c r="D877" s="2" t="s">
        <v>2279</v>
      </c>
      <c r="E877" s="2" t="s">
        <v>844</v>
      </c>
      <c r="F877" s="2" t="s">
        <v>1349</v>
      </c>
      <c r="G877" s="2" t="s">
        <v>28</v>
      </c>
      <c r="H877" s="2" t="s">
        <v>14</v>
      </c>
    </row>
    <row r="878" customFormat="false" ht="22.35" hidden="false" customHeight="false" outlineLevel="0" collapsed="false">
      <c r="A878" s="2" t="n">
        <v>877</v>
      </c>
      <c r="B878" s="5" t="s">
        <v>2571</v>
      </c>
      <c r="C878" s="2" t="s">
        <v>2572</v>
      </c>
      <c r="D878" s="2" t="s">
        <v>2279</v>
      </c>
      <c r="E878" s="2" t="s">
        <v>2573</v>
      </c>
      <c r="F878" s="2" t="s">
        <v>984</v>
      </c>
      <c r="G878" s="2" t="s">
        <v>28</v>
      </c>
      <c r="H878" s="2" t="s">
        <v>14</v>
      </c>
    </row>
    <row r="879" customFormat="false" ht="22.35" hidden="false" customHeight="false" outlineLevel="0" collapsed="false">
      <c r="A879" s="2" t="n">
        <v>878</v>
      </c>
      <c r="B879" s="5" t="s">
        <v>2574</v>
      </c>
      <c r="C879" s="2" t="s">
        <v>2575</v>
      </c>
      <c r="D879" s="2" t="s">
        <v>2279</v>
      </c>
      <c r="E879" s="2" t="s">
        <v>2313</v>
      </c>
      <c r="F879" s="2" t="s">
        <v>2576</v>
      </c>
      <c r="G879" s="2" t="s">
        <v>28</v>
      </c>
      <c r="H879" s="2" t="s">
        <v>14</v>
      </c>
    </row>
    <row r="880" customFormat="false" ht="22.35" hidden="false" customHeight="false" outlineLevel="0" collapsed="false">
      <c r="A880" s="2" t="n">
        <v>879</v>
      </c>
      <c r="B880" s="5" t="s">
        <v>2577</v>
      </c>
      <c r="C880" s="2" t="s">
        <v>2578</v>
      </c>
      <c r="D880" s="2" t="s">
        <v>2279</v>
      </c>
      <c r="E880" s="2" t="s">
        <v>2313</v>
      </c>
      <c r="F880" s="2" t="s">
        <v>2119</v>
      </c>
      <c r="G880" s="2" t="s">
        <v>13</v>
      </c>
      <c r="H880" s="2" t="s">
        <v>14</v>
      </c>
    </row>
    <row r="881" customFormat="false" ht="15" hidden="false" customHeight="false" outlineLevel="0" collapsed="false">
      <c r="A881" s="2" t="n">
        <v>880</v>
      </c>
      <c r="B881" s="5" t="s">
        <v>2579</v>
      </c>
      <c r="C881" s="2" t="s">
        <v>2580</v>
      </c>
      <c r="D881" s="2" t="s">
        <v>2279</v>
      </c>
      <c r="E881" s="2" t="s">
        <v>2313</v>
      </c>
      <c r="F881" s="2" t="s">
        <v>2581</v>
      </c>
      <c r="G881" s="2" t="s">
        <v>13</v>
      </c>
      <c r="H881" s="2" t="s">
        <v>14</v>
      </c>
    </row>
    <row r="882" customFormat="false" ht="22.35" hidden="false" customHeight="false" outlineLevel="0" collapsed="false">
      <c r="A882" s="2" t="n">
        <v>881</v>
      </c>
      <c r="B882" s="3" t="s">
        <v>2582</v>
      </c>
      <c r="C882" s="2" t="s">
        <v>2583</v>
      </c>
      <c r="D882" s="2" t="s">
        <v>2279</v>
      </c>
      <c r="E882" s="2" t="s">
        <v>2313</v>
      </c>
      <c r="F882" s="4" t="s">
        <v>2584</v>
      </c>
      <c r="G882" s="2" t="s">
        <v>13</v>
      </c>
      <c r="H882" s="2" t="s">
        <v>14</v>
      </c>
    </row>
    <row r="883" customFormat="false" ht="22.35" hidden="false" customHeight="false" outlineLevel="0" collapsed="false">
      <c r="A883" s="2" t="n">
        <v>882</v>
      </c>
      <c r="B883" s="5" t="s">
        <v>2585</v>
      </c>
      <c r="C883" s="2" t="s">
        <v>2586</v>
      </c>
      <c r="D883" s="2" t="s">
        <v>2279</v>
      </c>
      <c r="E883" s="2" t="s">
        <v>2313</v>
      </c>
      <c r="F883" s="2" t="s">
        <v>2587</v>
      </c>
      <c r="G883" s="2" t="s">
        <v>28</v>
      </c>
      <c r="H883" s="2" t="s">
        <v>14</v>
      </c>
    </row>
    <row r="884" customFormat="false" ht="15" hidden="false" customHeight="false" outlineLevel="0" collapsed="false">
      <c r="A884" s="2" t="n">
        <v>883</v>
      </c>
      <c r="B884" s="5" t="s">
        <v>2588</v>
      </c>
      <c r="C884" s="2" t="s">
        <v>2589</v>
      </c>
      <c r="D884" s="2" t="s">
        <v>2279</v>
      </c>
      <c r="E884" s="2" t="s">
        <v>2548</v>
      </c>
      <c r="F884" s="2" t="s">
        <v>2590</v>
      </c>
      <c r="G884" s="2" t="s">
        <v>13</v>
      </c>
      <c r="H884" s="2" t="s">
        <v>14</v>
      </c>
    </row>
    <row r="885" customFormat="false" ht="22.35" hidden="false" customHeight="false" outlineLevel="0" collapsed="false">
      <c r="A885" s="2" t="n">
        <v>884</v>
      </c>
      <c r="B885" s="5" t="s">
        <v>2591</v>
      </c>
      <c r="C885" s="2" t="s">
        <v>2592</v>
      </c>
      <c r="D885" s="2" t="s">
        <v>2593</v>
      </c>
      <c r="E885" s="2" t="s">
        <v>844</v>
      </c>
      <c r="F885" s="2" t="s">
        <v>1005</v>
      </c>
      <c r="G885" s="2" t="s">
        <v>13</v>
      </c>
      <c r="H885" s="2" t="s">
        <v>14</v>
      </c>
    </row>
    <row r="886" customFormat="false" ht="15" hidden="false" customHeight="false" outlineLevel="0" collapsed="false">
      <c r="A886" s="2" t="n">
        <v>885</v>
      </c>
      <c r="B886" s="5" t="s">
        <v>2594</v>
      </c>
      <c r="C886" s="2" t="s">
        <v>2595</v>
      </c>
      <c r="D886" s="2" t="s">
        <v>2279</v>
      </c>
      <c r="E886" s="2" t="s">
        <v>2596</v>
      </c>
      <c r="F886" s="2" t="s">
        <v>57</v>
      </c>
      <c r="G886" s="2" t="s">
        <v>28</v>
      </c>
      <c r="H886" s="2" t="s">
        <v>14</v>
      </c>
    </row>
    <row r="887" customFormat="false" ht="22.35" hidden="false" customHeight="false" outlineLevel="0" collapsed="false">
      <c r="A887" s="2" t="n">
        <v>886</v>
      </c>
      <c r="B887" s="5" t="s">
        <v>2597</v>
      </c>
      <c r="C887" s="2" t="s">
        <v>2598</v>
      </c>
      <c r="D887" s="2" t="s">
        <v>2279</v>
      </c>
      <c r="E887" s="2" t="s">
        <v>2457</v>
      </c>
      <c r="F887" s="2" t="s">
        <v>2119</v>
      </c>
      <c r="G887" s="2" t="s">
        <v>13</v>
      </c>
      <c r="H887" s="2" t="s">
        <v>14</v>
      </c>
    </row>
    <row r="888" customFormat="false" ht="22.35" hidden="false" customHeight="false" outlineLevel="0" collapsed="false">
      <c r="A888" s="2" t="n">
        <v>887</v>
      </c>
      <c r="B888" s="5" t="s">
        <v>2599</v>
      </c>
      <c r="C888" s="2" t="s">
        <v>2600</v>
      </c>
      <c r="D888" s="2" t="s">
        <v>2279</v>
      </c>
      <c r="E888" s="2" t="s">
        <v>2601</v>
      </c>
      <c r="F888" s="2" t="s">
        <v>2465</v>
      </c>
      <c r="G888" s="2" t="s">
        <v>13</v>
      </c>
      <c r="H888" s="2" t="s">
        <v>14</v>
      </c>
    </row>
    <row r="889" customFormat="false" ht="22.35" hidden="false" customHeight="false" outlineLevel="0" collapsed="false">
      <c r="A889" s="2" t="n">
        <v>888</v>
      </c>
      <c r="B889" s="5" t="s">
        <v>2602</v>
      </c>
      <c r="C889" s="2" t="s">
        <v>2603</v>
      </c>
      <c r="D889" s="2" t="s">
        <v>2604</v>
      </c>
      <c r="E889" s="2" t="s">
        <v>2457</v>
      </c>
      <c r="F889" s="2" t="s">
        <v>2376</v>
      </c>
      <c r="G889" s="2" t="s">
        <v>13</v>
      </c>
      <c r="H889" s="2" t="s">
        <v>14</v>
      </c>
    </row>
    <row r="890" customFormat="false" ht="15" hidden="false" customHeight="false" outlineLevel="0" collapsed="false">
      <c r="A890" s="2" t="n">
        <v>889</v>
      </c>
      <c r="B890" s="3" t="s">
        <v>2120</v>
      </c>
      <c r="C890" s="2" t="s">
        <v>2605</v>
      </c>
      <c r="D890" s="2" t="s">
        <v>2606</v>
      </c>
      <c r="E890" s="2" t="s">
        <v>1022</v>
      </c>
      <c r="F890" s="4" t="s">
        <v>1509</v>
      </c>
      <c r="G890" s="2" t="s">
        <v>28</v>
      </c>
      <c r="H890" s="2" t="s">
        <v>14</v>
      </c>
    </row>
    <row r="891" customFormat="false" ht="32.8" hidden="false" customHeight="false" outlineLevel="0" collapsed="false">
      <c r="A891" s="2" t="n">
        <v>890</v>
      </c>
      <c r="B891" s="5" t="s">
        <v>2607</v>
      </c>
      <c r="C891" s="2" t="s">
        <v>2608</v>
      </c>
      <c r="D891" s="2" t="s">
        <v>2609</v>
      </c>
      <c r="E891" s="2" t="s">
        <v>2610</v>
      </c>
      <c r="F891" s="2" t="s">
        <v>2611</v>
      </c>
      <c r="G891" s="2" t="s">
        <v>28</v>
      </c>
      <c r="H891" s="2" t="s">
        <v>14</v>
      </c>
    </row>
    <row r="892" customFormat="false" ht="22.35" hidden="false" customHeight="false" outlineLevel="0" collapsed="false">
      <c r="A892" s="2" t="n">
        <v>891</v>
      </c>
      <c r="B892" s="5" t="s">
        <v>2612</v>
      </c>
      <c r="C892" s="2" t="s">
        <v>2613</v>
      </c>
      <c r="D892" s="2" t="s">
        <v>2609</v>
      </c>
      <c r="E892" s="2" t="s">
        <v>218</v>
      </c>
      <c r="F892" s="2" t="s">
        <v>2614</v>
      </c>
      <c r="G892" s="2" t="s">
        <v>28</v>
      </c>
      <c r="H892" s="2" t="s">
        <v>14</v>
      </c>
    </row>
    <row r="893" customFormat="false" ht="15" hidden="false" customHeight="false" outlineLevel="0" collapsed="false">
      <c r="A893" s="2" t="n">
        <v>892</v>
      </c>
      <c r="B893" s="3" t="s">
        <v>2615</v>
      </c>
      <c r="C893" s="2" t="s">
        <v>2616</v>
      </c>
      <c r="D893" s="2" t="s">
        <v>2617</v>
      </c>
      <c r="E893" s="2" t="s">
        <v>2618</v>
      </c>
      <c r="F893" s="4" t="s">
        <v>1509</v>
      </c>
      <c r="G893" s="2" t="s">
        <v>28</v>
      </c>
      <c r="H893" s="2" t="s">
        <v>14</v>
      </c>
    </row>
    <row r="894" customFormat="false" ht="22.35" hidden="false" customHeight="false" outlineLevel="0" collapsed="false">
      <c r="A894" s="2" t="n">
        <v>893</v>
      </c>
      <c r="B894" s="5" t="s">
        <v>2619</v>
      </c>
      <c r="C894" s="2" t="s">
        <v>2620</v>
      </c>
      <c r="D894" s="2" t="s">
        <v>2279</v>
      </c>
      <c r="E894" s="2" t="s">
        <v>2621</v>
      </c>
      <c r="F894" s="2" t="s">
        <v>184</v>
      </c>
      <c r="G894" s="2" t="s">
        <v>13</v>
      </c>
      <c r="H894" s="2" t="s">
        <v>14</v>
      </c>
    </row>
    <row r="895" customFormat="false" ht="22.35" hidden="false" customHeight="false" outlineLevel="0" collapsed="false">
      <c r="A895" s="2" t="n">
        <v>894</v>
      </c>
      <c r="B895" s="5" t="s">
        <v>2622</v>
      </c>
      <c r="C895" s="2" t="s">
        <v>2623</v>
      </c>
      <c r="D895" s="2" t="s">
        <v>2279</v>
      </c>
      <c r="E895" s="2" t="s">
        <v>2621</v>
      </c>
      <c r="F895" s="2" t="s">
        <v>2624</v>
      </c>
      <c r="G895" s="2" t="s">
        <v>13</v>
      </c>
      <c r="H895" s="2" t="s">
        <v>14</v>
      </c>
    </row>
    <row r="896" customFormat="false" ht="22.35" hidden="false" customHeight="false" outlineLevel="0" collapsed="false">
      <c r="A896" s="2" t="n">
        <v>895</v>
      </c>
      <c r="B896" s="5" t="s">
        <v>2625</v>
      </c>
      <c r="C896" s="2" t="s">
        <v>2626</v>
      </c>
      <c r="D896" s="2" t="s">
        <v>2275</v>
      </c>
      <c r="E896" s="2" t="s">
        <v>2621</v>
      </c>
      <c r="F896" s="2" t="s">
        <v>722</v>
      </c>
      <c r="G896" s="2" t="s">
        <v>13</v>
      </c>
      <c r="H896" s="2" t="s">
        <v>14</v>
      </c>
    </row>
    <row r="897" customFormat="false" ht="22.35" hidden="false" customHeight="false" outlineLevel="0" collapsed="false">
      <c r="A897" s="2" t="n">
        <v>896</v>
      </c>
      <c r="B897" s="3" t="s">
        <v>2627</v>
      </c>
      <c r="C897" s="2" t="s">
        <v>2628</v>
      </c>
      <c r="D897" s="2" t="s">
        <v>2629</v>
      </c>
      <c r="E897" s="2" t="s">
        <v>1574</v>
      </c>
      <c r="F897" s="4" t="s">
        <v>1509</v>
      </c>
      <c r="G897" s="2" t="s">
        <v>28</v>
      </c>
      <c r="H897" s="2" t="s">
        <v>14</v>
      </c>
    </row>
    <row r="898" customFormat="false" ht="22.35" hidden="false" customHeight="false" outlineLevel="0" collapsed="false">
      <c r="A898" s="2" t="n">
        <v>897</v>
      </c>
      <c r="B898" s="3" t="s">
        <v>2630</v>
      </c>
      <c r="C898" s="2" t="s">
        <v>2631</v>
      </c>
      <c r="D898" s="2" t="s">
        <v>2629</v>
      </c>
      <c r="E898" s="2" t="s">
        <v>1574</v>
      </c>
      <c r="F898" s="4" t="s">
        <v>2632</v>
      </c>
      <c r="G898" s="2" t="s">
        <v>28</v>
      </c>
      <c r="H898" s="2" t="s">
        <v>14</v>
      </c>
    </row>
    <row r="899" customFormat="false" ht="22.35" hidden="false" customHeight="false" outlineLevel="0" collapsed="false">
      <c r="A899" s="2" t="n">
        <v>898</v>
      </c>
      <c r="B899" s="3" t="s">
        <v>2633</v>
      </c>
      <c r="C899" s="2" t="s">
        <v>2634</v>
      </c>
      <c r="D899" s="2" t="s">
        <v>2629</v>
      </c>
      <c r="E899" s="2" t="s">
        <v>2635</v>
      </c>
      <c r="F899" s="4" t="s">
        <v>2636</v>
      </c>
      <c r="G899" s="2" t="s">
        <v>13</v>
      </c>
      <c r="H899" s="2" t="s">
        <v>14</v>
      </c>
    </row>
    <row r="900" customFormat="false" ht="15" hidden="false" customHeight="false" outlineLevel="0" collapsed="false">
      <c r="A900" s="2" t="n">
        <v>899</v>
      </c>
      <c r="B900" s="3" t="s">
        <v>2637</v>
      </c>
      <c r="C900" s="2" t="s">
        <v>2638</v>
      </c>
      <c r="D900" s="2" t="s">
        <v>2629</v>
      </c>
      <c r="E900" s="2" t="s">
        <v>2635</v>
      </c>
      <c r="F900" s="4" t="s">
        <v>2639</v>
      </c>
      <c r="G900" s="2" t="s">
        <v>13</v>
      </c>
      <c r="H900" s="2" t="s">
        <v>14</v>
      </c>
    </row>
    <row r="901" customFormat="false" ht="15" hidden="false" customHeight="false" outlineLevel="0" collapsed="false">
      <c r="A901" s="2" t="n">
        <v>900</v>
      </c>
      <c r="B901" s="5" t="s">
        <v>2640</v>
      </c>
      <c r="C901" s="2" t="s">
        <v>2641</v>
      </c>
      <c r="D901" s="2" t="s">
        <v>2629</v>
      </c>
      <c r="E901" s="2" t="s">
        <v>844</v>
      </c>
      <c r="F901" s="2" t="s">
        <v>2642</v>
      </c>
      <c r="G901" s="2" t="s">
        <v>13</v>
      </c>
      <c r="H901" s="2" t="s">
        <v>14</v>
      </c>
    </row>
    <row r="902" customFormat="false" ht="15" hidden="false" customHeight="false" outlineLevel="0" collapsed="false">
      <c r="A902" s="2" t="n">
        <v>901</v>
      </c>
      <c r="B902" s="5" t="s">
        <v>2643</v>
      </c>
      <c r="C902" s="2" t="s">
        <v>2644</v>
      </c>
      <c r="D902" s="2" t="s">
        <v>2629</v>
      </c>
      <c r="E902" s="2" t="s">
        <v>844</v>
      </c>
      <c r="F902" s="2" t="s">
        <v>2472</v>
      </c>
      <c r="G902" s="2" t="s">
        <v>13</v>
      </c>
      <c r="H902" s="2" t="s">
        <v>14</v>
      </c>
    </row>
    <row r="903" customFormat="false" ht="15" hidden="false" customHeight="false" outlineLevel="0" collapsed="false">
      <c r="A903" s="2" t="n">
        <v>902</v>
      </c>
      <c r="B903" s="3" t="s">
        <v>2645</v>
      </c>
      <c r="C903" s="2" t="s">
        <v>2646</v>
      </c>
      <c r="D903" s="2" t="s">
        <v>2629</v>
      </c>
      <c r="E903" s="2" t="s">
        <v>2647</v>
      </c>
      <c r="F903" s="4" t="s">
        <v>2648</v>
      </c>
      <c r="G903" s="2" t="s">
        <v>13</v>
      </c>
      <c r="H903" s="2" t="s">
        <v>14</v>
      </c>
    </row>
    <row r="904" customFormat="false" ht="22.35" hidden="false" customHeight="false" outlineLevel="0" collapsed="false">
      <c r="A904" s="2" t="n">
        <v>903</v>
      </c>
      <c r="B904" s="3" t="s">
        <v>2649</v>
      </c>
      <c r="C904" s="2" t="s">
        <v>2650</v>
      </c>
      <c r="D904" s="2" t="s">
        <v>2629</v>
      </c>
      <c r="E904" s="2" t="s">
        <v>844</v>
      </c>
      <c r="F904" s="4" t="s">
        <v>2651</v>
      </c>
      <c r="G904" s="2" t="s">
        <v>13</v>
      </c>
      <c r="H904" s="2" t="s">
        <v>14</v>
      </c>
    </row>
    <row r="905" customFormat="false" ht="22.35" hidden="false" customHeight="false" outlineLevel="0" collapsed="false">
      <c r="A905" s="2" t="n">
        <v>904</v>
      </c>
      <c r="B905" s="5" t="s">
        <v>2652</v>
      </c>
      <c r="C905" s="2" t="s">
        <v>2653</v>
      </c>
      <c r="D905" s="2" t="s">
        <v>2629</v>
      </c>
      <c r="E905" s="2" t="s">
        <v>844</v>
      </c>
      <c r="F905" s="2" t="s">
        <v>2654</v>
      </c>
      <c r="G905" s="2" t="s">
        <v>13</v>
      </c>
      <c r="H905" s="2" t="s">
        <v>14</v>
      </c>
    </row>
    <row r="906" customFormat="false" ht="22.35" hidden="false" customHeight="false" outlineLevel="0" collapsed="false">
      <c r="A906" s="2" t="n">
        <v>905</v>
      </c>
      <c r="B906" s="5" t="s">
        <v>2655</v>
      </c>
      <c r="C906" s="2" t="s">
        <v>2656</v>
      </c>
      <c r="D906" s="2" t="s">
        <v>2629</v>
      </c>
      <c r="E906" s="2" t="s">
        <v>844</v>
      </c>
      <c r="F906" s="2" t="s">
        <v>1390</v>
      </c>
      <c r="G906" s="2" t="s">
        <v>13</v>
      </c>
      <c r="H906" s="2" t="s">
        <v>14</v>
      </c>
    </row>
    <row r="907" customFormat="false" ht="22.35" hidden="false" customHeight="false" outlineLevel="0" collapsed="false">
      <c r="A907" s="2" t="n">
        <v>906</v>
      </c>
      <c r="B907" s="5" t="s">
        <v>2657</v>
      </c>
      <c r="C907" s="2" t="s">
        <v>2658</v>
      </c>
      <c r="D907" s="2" t="s">
        <v>2629</v>
      </c>
      <c r="E907" s="2" t="s">
        <v>844</v>
      </c>
      <c r="F907" s="2" t="s">
        <v>2659</v>
      </c>
      <c r="G907" s="2" t="s">
        <v>13</v>
      </c>
      <c r="H907" s="2" t="s">
        <v>14</v>
      </c>
    </row>
    <row r="908" customFormat="false" ht="22.35" hidden="false" customHeight="false" outlineLevel="0" collapsed="false">
      <c r="A908" s="2" t="n">
        <v>907</v>
      </c>
      <c r="B908" s="5" t="s">
        <v>2660</v>
      </c>
      <c r="C908" s="2" t="s">
        <v>2661</v>
      </c>
      <c r="D908" s="2" t="s">
        <v>2629</v>
      </c>
      <c r="E908" s="2" t="s">
        <v>2662</v>
      </c>
      <c r="F908" s="2" t="s">
        <v>39</v>
      </c>
      <c r="G908" s="2" t="s">
        <v>28</v>
      </c>
      <c r="H908" s="2" t="s">
        <v>14</v>
      </c>
    </row>
    <row r="909" customFormat="false" ht="22.35" hidden="false" customHeight="false" outlineLevel="0" collapsed="false">
      <c r="A909" s="2" t="n">
        <v>908</v>
      </c>
      <c r="B909" s="3" t="s">
        <v>2663</v>
      </c>
      <c r="C909" s="2" t="s">
        <v>2664</v>
      </c>
      <c r="D909" s="2" t="s">
        <v>2629</v>
      </c>
      <c r="E909" s="2" t="s">
        <v>2665</v>
      </c>
      <c r="F909" s="4" t="s">
        <v>2666</v>
      </c>
      <c r="G909" s="2" t="s">
        <v>13</v>
      </c>
      <c r="H909" s="2" t="s">
        <v>14</v>
      </c>
    </row>
    <row r="910" customFormat="false" ht="22.35" hidden="false" customHeight="false" outlineLevel="0" collapsed="false">
      <c r="A910" s="2" t="n">
        <v>909</v>
      </c>
      <c r="B910" s="3" t="s">
        <v>2667</v>
      </c>
      <c r="C910" s="2" t="s">
        <v>2668</v>
      </c>
      <c r="D910" s="2" t="s">
        <v>2629</v>
      </c>
      <c r="E910" s="2" t="s">
        <v>844</v>
      </c>
      <c r="F910" s="4" t="s">
        <v>2669</v>
      </c>
      <c r="G910" s="2" t="s">
        <v>13</v>
      </c>
      <c r="H910" s="2" t="s">
        <v>14</v>
      </c>
    </row>
    <row r="911" customFormat="false" ht="22.35" hidden="false" customHeight="false" outlineLevel="0" collapsed="false">
      <c r="A911" s="2" t="n">
        <v>910</v>
      </c>
      <c r="B911" s="5" t="s">
        <v>2670</v>
      </c>
      <c r="C911" s="2" t="s">
        <v>2671</v>
      </c>
      <c r="D911" s="2" t="s">
        <v>2629</v>
      </c>
      <c r="E911" s="2" t="s">
        <v>844</v>
      </c>
      <c r="F911" s="2" t="s">
        <v>2672</v>
      </c>
      <c r="G911" s="2" t="s">
        <v>13</v>
      </c>
      <c r="H911" s="2" t="s">
        <v>14</v>
      </c>
    </row>
    <row r="912" customFormat="false" ht="22.35" hidden="false" customHeight="false" outlineLevel="0" collapsed="false">
      <c r="A912" s="2" t="n">
        <v>911</v>
      </c>
      <c r="B912" s="3" t="s">
        <v>2673</v>
      </c>
      <c r="C912" s="2" t="s">
        <v>2674</v>
      </c>
      <c r="D912" s="2" t="s">
        <v>2629</v>
      </c>
      <c r="E912" s="2" t="s">
        <v>2675</v>
      </c>
      <c r="F912" s="4" t="s">
        <v>2676</v>
      </c>
      <c r="G912" s="2" t="s">
        <v>28</v>
      </c>
      <c r="H912" s="2" t="s">
        <v>14</v>
      </c>
    </row>
    <row r="913" customFormat="false" ht="15" hidden="false" customHeight="false" outlineLevel="0" collapsed="false">
      <c r="A913" s="2" t="n">
        <v>912</v>
      </c>
      <c r="B913" s="5" t="s">
        <v>2677</v>
      </c>
      <c r="C913" s="2" t="s">
        <v>2678</v>
      </c>
      <c r="D913" s="2" t="s">
        <v>2679</v>
      </c>
      <c r="E913" s="2" t="s">
        <v>1574</v>
      </c>
      <c r="F913" s="2" t="s">
        <v>2680</v>
      </c>
      <c r="G913" s="2" t="s">
        <v>28</v>
      </c>
      <c r="H913" s="2" t="s">
        <v>14</v>
      </c>
    </row>
    <row r="914" customFormat="false" ht="15" hidden="false" customHeight="false" outlineLevel="0" collapsed="false">
      <c r="A914" s="2" t="n">
        <v>913</v>
      </c>
      <c r="B914" s="3" t="s">
        <v>2120</v>
      </c>
      <c r="C914" s="2" t="s">
        <v>2681</v>
      </c>
      <c r="D914" s="2" t="s">
        <v>2682</v>
      </c>
      <c r="E914" s="2" t="s">
        <v>1022</v>
      </c>
      <c r="F914" s="4" t="s">
        <v>1509</v>
      </c>
      <c r="G914" s="2" t="s">
        <v>28</v>
      </c>
      <c r="H914" s="2" t="s">
        <v>14</v>
      </c>
    </row>
    <row r="915" customFormat="false" ht="22.35" hidden="false" customHeight="false" outlineLevel="0" collapsed="false">
      <c r="A915" s="2" t="n">
        <v>914</v>
      </c>
      <c r="B915" s="3" t="s">
        <v>2683</v>
      </c>
      <c r="C915" s="2" t="s">
        <v>2684</v>
      </c>
      <c r="D915" s="2" t="s">
        <v>2629</v>
      </c>
      <c r="E915" s="2" t="s">
        <v>218</v>
      </c>
      <c r="F915" s="4" t="s">
        <v>2685</v>
      </c>
      <c r="G915" s="2" t="s">
        <v>13</v>
      </c>
      <c r="H915" s="2" t="s">
        <v>14</v>
      </c>
    </row>
    <row r="916" customFormat="false" ht="15" hidden="false" customHeight="false" outlineLevel="0" collapsed="false">
      <c r="A916" s="2" t="n">
        <v>915</v>
      </c>
      <c r="B916" s="5" t="s">
        <v>2686</v>
      </c>
      <c r="C916" s="2" t="s">
        <v>2687</v>
      </c>
      <c r="D916" s="2" t="s">
        <v>2629</v>
      </c>
      <c r="E916" s="2" t="s">
        <v>2688</v>
      </c>
      <c r="F916" s="2" t="s">
        <v>188</v>
      </c>
      <c r="G916" s="2" t="s">
        <v>13</v>
      </c>
      <c r="H916" s="2" t="s">
        <v>14</v>
      </c>
    </row>
    <row r="917" customFormat="false" ht="15" hidden="false" customHeight="false" outlineLevel="0" collapsed="false">
      <c r="A917" s="2" t="n">
        <v>916</v>
      </c>
      <c r="B917" s="5" t="s">
        <v>2689</v>
      </c>
      <c r="C917" s="2" t="s">
        <v>2690</v>
      </c>
      <c r="D917" s="2" t="s">
        <v>2629</v>
      </c>
      <c r="E917" s="2" t="s">
        <v>844</v>
      </c>
      <c r="F917" s="2" t="s">
        <v>157</v>
      </c>
      <c r="G917" s="2" t="s">
        <v>13</v>
      </c>
      <c r="H917" s="2" t="s">
        <v>14</v>
      </c>
    </row>
    <row r="918" customFormat="false" ht="22.35" hidden="false" customHeight="false" outlineLevel="0" collapsed="false">
      <c r="A918" s="2" t="n">
        <v>917</v>
      </c>
      <c r="B918" s="5" t="s">
        <v>2691</v>
      </c>
      <c r="C918" s="2" t="s">
        <v>2692</v>
      </c>
      <c r="D918" s="2" t="s">
        <v>2629</v>
      </c>
      <c r="E918" s="2" t="s">
        <v>844</v>
      </c>
      <c r="F918" s="2" t="s">
        <v>2693</v>
      </c>
      <c r="G918" s="2" t="s">
        <v>13</v>
      </c>
      <c r="H918" s="2" t="s">
        <v>14</v>
      </c>
    </row>
    <row r="919" customFormat="false" ht="15" hidden="false" customHeight="false" outlineLevel="0" collapsed="false">
      <c r="A919" s="2" t="n">
        <v>918</v>
      </c>
      <c r="B919" s="5" t="s">
        <v>2694</v>
      </c>
      <c r="C919" s="2" t="s">
        <v>2695</v>
      </c>
      <c r="D919" s="2" t="s">
        <v>2629</v>
      </c>
      <c r="E919" s="2" t="s">
        <v>1195</v>
      </c>
      <c r="F919" s="2" t="s">
        <v>2082</v>
      </c>
      <c r="G919" s="2" t="s">
        <v>13</v>
      </c>
      <c r="H919" s="2" t="s">
        <v>14</v>
      </c>
    </row>
    <row r="920" customFormat="false" ht="15" hidden="false" customHeight="false" outlineLevel="0" collapsed="false">
      <c r="A920" s="2" t="n">
        <v>919</v>
      </c>
      <c r="B920" s="5" t="s">
        <v>2696</v>
      </c>
      <c r="C920" s="2" t="s">
        <v>2697</v>
      </c>
      <c r="D920" s="2" t="s">
        <v>2629</v>
      </c>
      <c r="E920" s="2" t="s">
        <v>2698</v>
      </c>
      <c r="F920" s="2" t="s">
        <v>2306</v>
      </c>
      <c r="G920" s="2" t="s">
        <v>28</v>
      </c>
      <c r="H920" s="2" t="s">
        <v>14</v>
      </c>
    </row>
    <row r="921" customFormat="false" ht="22.35" hidden="false" customHeight="false" outlineLevel="0" collapsed="false">
      <c r="A921" s="2" t="n">
        <v>920</v>
      </c>
      <c r="B921" s="5" t="s">
        <v>2699</v>
      </c>
      <c r="C921" s="2" t="s">
        <v>2700</v>
      </c>
      <c r="D921" s="2" t="s">
        <v>2629</v>
      </c>
      <c r="E921" s="2" t="s">
        <v>844</v>
      </c>
      <c r="F921" s="2" t="s">
        <v>1518</v>
      </c>
      <c r="G921" s="2" t="s">
        <v>13</v>
      </c>
      <c r="H921" s="2" t="s">
        <v>14</v>
      </c>
    </row>
    <row r="922" customFormat="false" ht="15" hidden="false" customHeight="false" outlineLevel="0" collapsed="false">
      <c r="A922" s="2" t="n">
        <v>921</v>
      </c>
      <c r="B922" s="3" t="s">
        <v>2701</v>
      </c>
      <c r="C922" s="2" t="s">
        <v>2702</v>
      </c>
      <c r="D922" s="2" t="s">
        <v>2629</v>
      </c>
      <c r="E922" s="2" t="s">
        <v>2647</v>
      </c>
      <c r="F922" s="4" t="s">
        <v>841</v>
      </c>
      <c r="G922" s="2" t="s">
        <v>13</v>
      </c>
      <c r="H922" s="2" t="s">
        <v>14</v>
      </c>
    </row>
    <row r="923" customFormat="false" ht="22.35" hidden="false" customHeight="false" outlineLevel="0" collapsed="false">
      <c r="A923" s="2" t="n">
        <v>922</v>
      </c>
      <c r="B923" s="3" t="s">
        <v>2703</v>
      </c>
      <c r="C923" s="2" t="s">
        <v>2704</v>
      </c>
      <c r="D923" s="2" t="s">
        <v>2629</v>
      </c>
      <c r="E923" s="2" t="s">
        <v>844</v>
      </c>
      <c r="F923" s="4" t="s">
        <v>841</v>
      </c>
      <c r="G923" s="2" t="s">
        <v>13</v>
      </c>
      <c r="H923" s="2" t="s">
        <v>14</v>
      </c>
    </row>
    <row r="924" customFormat="false" ht="15" hidden="false" customHeight="false" outlineLevel="0" collapsed="false">
      <c r="A924" s="2" t="n">
        <v>923</v>
      </c>
      <c r="B924" s="5" t="s">
        <v>2705</v>
      </c>
      <c r="C924" s="2" t="s">
        <v>2706</v>
      </c>
      <c r="D924" s="2" t="s">
        <v>2629</v>
      </c>
      <c r="E924" s="2" t="s">
        <v>844</v>
      </c>
      <c r="F924" s="2" t="s">
        <v>157</v>
      </c>
      <c r="G924" s="2" t="s">
        <v>13</v>
      </c>
      <c r="H924" s="2" t="s">
        <v>14</v>
      </c>
    </row>
    <row r="925" customFormat="false" ht="15" hidden="false" customHeight="false" outlineLevel="0" collapsed="false">
      <c r="A925" s="2" t="n">
        <v>924</v>
      </c>
      <c r="B925" s="5" t="s">
        <v>2707</v>
      </c>
      <c r="C925" s="2" t="s">
        <v>2708</v>
      </c>
      <c r="D925" s="2" t="s">
        <v>2629</v>
      </c>
      <c r="E925" s="2" t="s">
        <v>844</v>
      </c>
      <c r="F925" s="2" t="s">
        <v>188</v>
      </c>
      <c r="G925" s="2" t="s">
        <v>13</v>
      </c>
      <c r="H925" s="2" t="s">
        <v>14</v>
      </c>
    </row>
    <row r="926" customFormat="false" ht="15" hidden="false" customHeight="false" outlineLevel="0" collapsed="false">
      <c r="A926" s="2" t="n">
        <v>925</v>
      </c>
      <c r="B926" s="5" t="s">
        <v>2709</v>
      </c>
      <c r="C926" s="2" t="s">
        <v>2710</v>
      </c>
      <c r="D926" s="2" t="s">
        <v>2629</v>
      </c>
      <c r="E926" s="2" t="s">
        <v>844</v>
      </c>
      <c r="F926" s="2" t="s">
        <v>2711</v>
      </c>
      <c r="G926" s="2" t="s">
        <v>13</v>
      </c>
      <c r="H926" s="2" t="s">
        <v>14</v>
      </c>
    </row>
    <row r="927" customFormat="false" ht="22.35" hidden="false" customHeight="false" outlineLevel="0" collapsed="false">
      <c r="A927" s="2" t="n">
        <v>926</v>
      </c>
      <c r="B927" s="3" t="s">
        <v>2712</v>
      </c>
      <c r="C927" s="2" t="s">
        <v>2713</v>
      </c>
      <c r="D927" s="2" t="s">
        <v>2629</v>
      </c>
      <c r="E927" s="2" t="s">
        <v>844</v>
      </c>
      <c r="F927" s="4" t="s">
        <v>841</v>
      </c>
      <c r="G927" s="2" t="s">
        <v>13</v>
      </c>
      <c r="H927" s="2" t="s">
        <v>14</v>
      </c>
    </row>
    <row r="928" customFormat="false" ht="22.35" hidden="false" customHeight="false" outlineLevel="0" collapsed="false">
      <c r="A928" s="2" t="n">
        <v>927</v>
      </c>
      <c r="B928" s="5" t="s">
        <v>2714</v>
      </c>
      <c r="C928" s="2" t="s">
        <v>2715</v>
      </c>
      <c r="D928" s="2" t="s">
        <v>2629</v>
      </c>
      <c r="E928" s="2" t="s">
        <v>844</v>
      </c>
      <c r="F928" s="2" t="s">
        <v>1390</v>
      </c>
      <c r="G928" s="2" t="s">
        <v>13</v>
      </c>
      <c r="H928" s="2" t="s">
        <v>14</v>
      </c>
    </row>
    <row r="929" customFormat="false" ht="22.35" hidden="false" customHeight="false" outlineLevel="0" collapsed="false">
      <c r="A929" s="2" t="n">
        <v>928</v>
      </c>
      <c r="B929" s="3" t="s">
        <v>2716</v>
      </c>
      <c r="C929" s="2" t="s">
        <v>2717</v>
      </c>
      <c r="D929" s="2" t="s">
        <v>2629</v>
      </c>
      <c r="E929" s="2" t="s">
        <v>844</v>
      </c>
      <c r="F929" s="4" t="s">
        <v>2718</v>
      </c>
      <c r="G929" s="2" t="s">
        <v>13</v>
      </c>
      <c r="H929" s="2" t="s">
        <v>14</v>
      </c>
    </row>
    <row r="930" customFormat="false" ht="22.35" hidden="false" customHeight="false" outlineLevel="0" collapsed="false">
      <c r="A930" s="2" t="n">
        <v>929</v>
      </c>
      <c r="B930" s="5" t="s">
        <v>2719</v>
      </c>
      <c r="C930" s="2" t="s">
        <v>2720</v>
      </c>
      <c r="D930" s="2" t="s">
        <v>2629</v>
      </c>
      <c r="E930" s="2" t="s">
        <v>2647</v>
      </c>
      <c r="F930" s="2" t="s">
        <v>1714</v>
      </c>
      <c r="G930" s="2" t="s">
        <v>28</v>
      </c>
      <c r="H930" s="2" t="s">
        <v>14</v>
      </c>
    </row>
    <row r="931" customFormat="false" ht="22.35" hidden="false" customHeight="false" outlineLevel="0" collapsed="false">
      <c r="A931" s="2" t="n">
        <v>930</v>
      </c>
      <c r="B931" s="3" t="s">
        <v>2721</v>
      </c>
      <c r="C931" s="2" t="s">
        <v>2722</v>
      </c>
      <c r="D931" s="2" t="s">
        <v>2629</v>
      </c>
      <c r="E931" s="2" t="s">
        <v>844</v>
      </c>
      <c r="F931" s="4" t="s">
        <v>2723</v>
      </c>
      <c r="G931" s="2" t="s">
        <v>13</v>
      </c>
      <c r="H931" s="2" t="s">
        <v>14</v>
      </c>
    </row>
    <row r="932" customFormat="false" ht="22.35" hidden="false" customHeight="false" outlineLevel="0" collapsed="false">
      <c r="A932" s="2" t="n">
        <v>931</v>
      </c>
      <c r="B932" s="5" t="s">
        <v>2724</v>
      </c>
      <c r="C932" s="2" t="s">
        <v>2725</v>
      </c>
      <c r="D932" s="2" t="s">
        <v>2726</v>
      </c>
      <c r="E932" s="2" t="s">
        <v>2353</v>
      </c>
      <c r="F932" s="2" t="s">
        <v>2727</v>
      </c>
      <c r="G932" s="2" t="s">
        <v>28</v>
      </c>
      <c r="H932" s="2" t="s">
        <v>14</v>
      </c>
    </row>
    <row r="933" customFormat="false" ht="22.35" hidden="false" customHeight="false" outlineLevel="0" collapsed="false">
      <c r="A933" s="2" t="n">
        <v>932</v>
      </c>
      <c r="B933" s="5" t="s">
        <v>2728</v>
      </c>
      <c r="C933" s="2" t="s">
        <v>2729</v>
      </c>
      <c r="D933" s="2" t="s">
        <v>2629</v>
      </c>
      <c r="E933" s="2" t="s">
        <v>1229</v>
      </c>
      <c r="F933" s="2" t="s">
        <v>1017</v>
      </c>
      <c r="G933" s="2" t="s">
        <v>13</v>
      </c>
      <c r="H933" s="2" t="s">
        <v>14</v>
      </c>
    </row>
    <row r="934" customFormat="false" ht="15" hidden="false" customHeight="false" outlineLevel="0" collapsed="false">
      <c r="A934" s="2" t="n">
        <v>933</v>
      </c>
      <c r="B934" s="5" t="s">
        <v>2730</v>
      </c>
      <c r="C934" s="2" t="s">
        <v>2731</v>
      </c>
      <c r="D934" s="2" t="s">
        <v>2279</v>
      </c>
      <c r="E934" s="2" t="s">
        <v>2732</v>
      </c>
      <c r="F934" s="2" t="s">
        <v>2733</v>
      </c>
      <c r="G934" s="2" t="s">
        <v>13</v>
      </c>
      <c r="H934" s="2" t="s">
        <v>14</v>
      </c>
    </row>
    <row r="935" customFormat="false" ht="22.35" hidden="false" customHeight="false" outlineLevel="0" collapsed="false">
      <c r="A935" s="2" t="n">
        <v>934</v>
      </c>
      <c r="B935" s="3" t="s">
        <v>2734</v>
      </c>
      <c r="C935" s="2" t="s">
        <v>2735</v>
      </c>
      <c r="D935" s="2" t="s">
        <v>2629</v>
      </c>
      <c r="E935" s="2" t="s">
        <v>2253</v>
      </c>
      <c r="F935" s="4" t="s">
        <v>2736</v>
      </c>
      <c r="G935" s="2" t="s">
        <v>13</v>
      </c>
      <c r="H935" s="2" t="s">
        <v>14</v>
      </c>
    </row>
    <row r="936" customFormat="false" ht="22.35" hidden="false" customHeight="false" outlineLevel="0" collapsed="false">
      <c r="A936" s="2" t="n">
        <v>935</v>
      </c>
      <c r="B936" s="5" t="s">
        <v>2737</v>
      </c>
      <c r="C936" s="2" t="s">
        <v>2738</v>
      </c>
      <c r="D936" s="2" t="s">
        <v>2629</v>
      </c>
      <c r="E936" s="2" t="s">
        <v>2739</v>
      </c>
      <c r="F936" s="2" t="s">
        <v>2740</v>
      </c>
      <c r="G936" s="2" t="s">
        <v>28</v>
      </c>
      <c r="H936" s="2" t="s">
        <v>14</v>
      </c>
    </row>
    <row r="937" customFormat="false" ht="22.35" hidden="false" customHeight="false" outlineLevel="0" collapsed="false">
      <c r="A937" s="2" t="n">
        <v>936</v>
      </c>
      <c r="B937" s="5" t="s">
        <v>2741</v>
      </c>
      <c r="C937" s="2" t="s">
        <v>2742</v>
      </c>
      <c r="D937" s="2" t="s">
        <v>2629</v>
      </c>
      <c r="E937" s="2" t="s">
        <v>2743</v>
      </c>
      <c r="F937" s="2" t="s">
        <v>2654</v>
      </c>
      <c r="G937" s="2" t="s">
        <v>28</v>
      </c>
      <c r="H937" s="2" t="s">
        <v>14</v>
      </c>
    </row>
    <row r="938" customFormat="false" ht="15" hidden="false" customHeight="false" outlineLevel="0" collapsed="false">
      <c r="A938" s="2" t="n">
        <v>937</v>
      </c>
      <c r="B938" s="5" t="s">
        <v>2744</v>
      </c>
      <c r="C938" s="2" t="s">
        <v>2745</v>
      </c>
      <c r="D938" s="2" t="s">
        <v>2629</v>
      </c>
      <c r="E938" s="2" t="s">
        <v>844</v>
      </c>
      <c r="F938" s="2" t="s">
        <v>2472</v>
      </c>
      <c r="G938" s="2" t="s">
        <v>28</v>
      </c>
      <c r="H938" s="2" t="s">
        <v>14</v>
      </c>
    </row>
    <row r="939" customFormat="false" ht="22.35" hidden="false" customHeight="false" outlineLevel="0" collapsed="false">
      <c r="A939" s="2" t="n">
        <v>938</v>
      </c>
      <c r="B939" s="5" t="s">
        <v>2746</v>
      </c>
      <c r="C939" s="2" t="s">
        <v>2747</v>
      </c>
      <c r="D939" s="2" t="s">
        <v>2629</v>
      </c>
      <c r="E939" s="2" t="s">
        <v>844</v>
      </c>
      <c r="F939" s="2" t="s">
        <v>2748</v>
      </c>
      <c r="G939" s="2" t="s">
        <v>28</v>
      </c>
      <c r="H939" s="2" t="s">
        <v>14</v>
      </c>
    </row>
    <row r="940" customFormat="false" ht="22.35" hidden="false" customHeight="false" outlineLevel="0" collapsed="false">
      <c r="A940" s="2" t="n">
        <v>939</v>
      </c>
      <c r="B940" s="5" t="s">
        <v>2749</v>
      </c>
      <c r="C940" s="2" t="s">
        <v>2750</v>
      </c>
      <c r="D940" s="2" t="s">
        <v>2629</v>
      </c>
      <c r="E940" s="2" t="s">
        <v>844</v>
      </c>
      <c r="F940" s="2" t="s">
        <v>2751</v>
      </c>
      <c r="G940" s="2" t="s">
        <v>13</v>
      </c>
      <c r="H940" s="2" t="s">
        <v>14</v>
      </c>
    </row>
    <row r="941" customFormat="false" ht="22.35" hidden="false" customHeight="false" outlineLevel="0" collapsed="false">
      <c r="A941" s="2" t="n">
        <v>940</v>
      </c>
      <c r="B941" s="5" t="s">
        <v>2752</v>
      </c>
      <c r="C941" s="2" t="s">
        <v>2753</v>
      </c>
      <c r="D941" s="2" t="s">
        <v>2629</v>
      </c>
      <c r="E941" s="2" t="s">
        <v>844</v>
      </c>
      <c r="F941" s="2" t="s">
        <v>2754</v>
      </c>
      <c r="G941" s="2" t="s">
        <v>13</v>
      </c>
      <c r="H941" s="2" t="s">
        <v>14</v>
      </c>
    </row>
    <row r="942" customFormat="false" ht="22.35" hidden="false" customHeight="false" outlineLevel="0" collapsed="false">
      <c r="A942" s="2" t="n">
        <v>941</v>
      </c>
      <c r="B942" s="5" t="s">
        <v>2755</v>
      </c>
      <c r="C942" s="2" t="s">
        <v>2756</v>
      </c>
      <c r="D942" s="2" t="s">
        <v>2629</v>
      </c>
      <c r="E942" s="2" t="s">
        <v>2353</v>
      </c>
      <c r="F942" s="2" t="s">
        <v>2757</v>
      </c>
      <c r="G942" s="2" t="s">
        <v>13</v>
      </c>
      <c r="H942" s="2" t="s">
        <v>14</v>
      </c>
    </row>
    <row r="943" customFormat="false" ht="22.35" hidden="false" customHeight="false" outlineLevel="0" collapsed="false">
      <c r="A943" s="2" t="n">
        <v>942</v>
      </c>
      <c r="B943" s="5" t="s">
        <v>2758</v>
      </c>
      <c r="C943" s="2" t="s">
        <v>2759</v>
      </c>
      <c r="D943" s="2" t="s">
        <v>2629</v>
      </c>
      <c r="E943" s="2" t="s">
        <v>2760</v>
      </c>
      <c r="F943" s="2" t="s">
        <v>416</v>
      </c>
      <c r="G943" s="2" t="s">
        <v>28</v>
      </c>
      <c r="H943" s="2" t="s">
        <v>14</v>
      </c>
    </row>
    <row r="944" customFormat="false" ht="22.35" hidden="false" customHeight="false" outlineLevel="0" collapsed="false">
      <c r="A944" s="2" t="n">
        <v>943</v>
      </c>
      <c r="B944" s="5" t="s">
        <v>2761</v>
      </c>
      <c r="C944" s="2" t="s">
        <v>2762</v>
      </c>
      <c r="D944" s="2" t="s">
        <v>2629</v>
      </c>
      <c r="E944" s="2" t="s">
        <v>2763</v>
      </c>
      <c r="F944" s="2" t="s">
        <v>2306</v>
      </c>
      <c r="G944" s="2" t="s">
        <v>28</v>
      </c>
      <c r="H944" s="2" t="s">
        <v>14</v>
      </c>
    </row>
    <row r="945" customFormat="false" ht="15" hidden="false" customHeight="false" outlineLevel="0" collapsed="false">
      <c r="A945" s="2" t="n">
        <v>944</v>
      </c>
      <c r="B945" s="5" t="s">
        <v>2764</v>
      </c>
      <c r="C945" s="2" t="s">
        <v>2765</v>
      </c>
      <c r="D945" s="2" t="s">
        <v>2629</v>
      </c>
      <c r="E945" s="2" t="s">
        <v>844</v>
      </c>
      <c r="F945" s="2" t="s">
        <v>2766</v>
      </c>
      <c r="G945" s="2" t="s">
        <v>13</v>
      </c>
      <c r="H945" s="2" t="s">
        <v>14</v>
      </c>
    </row>
    <row r="946" customFormat="false" ht="32.8" hidden="false" customHeight="false" outlineLevel="0" collapsed="false">
      <c r="A946" s="2" t="n">
        <v>945</v>
      </c>
      <c r="B946" s="3" t="s">
        <v>2767</v>
      </c>
      <c r="C946" s="2" t="s">
        <v>2768</v>
      </c>
      <c r="D946" s="2" t="s">
        <v>2629</v>
      </c>
      <c r="E946" s="2" t="s">
        <v>2769</v>
      </c>
      <c r="F946" s="4" t="s">
        <v>214</v>
      </c>
      <c r="G946" s="2" t="s">
        <v>13</v>
      </c>
      <c r="H946" s="2" t="s">
        <v>14</v>
      </c>
    </row>
    <row r="947" customFormat="false" ht="22.35" hidden="false" customHeight="false" outlineLevel="0" collapsed="false">
      <c r="A947" s="2" t="n">
        <v>946</v>
      </c>
      <c r="B947" s="3" t="s">
        <v>2770</v>
      </c>
      <c r="C947" s="2" t="s">
        <v>2771</v>
      </c>
      <c r="D947" s="2" t="s">
        <v>2629</v>
      </c>
      <c r="E947" s="2" t="s">
        <v>844</v>
      </c>
      <c r="F947" s="4" t="s">
        <v>2772</v>
      </c>
      <c r="G947" s="2" t="s">
        <v>13</v>
      </c>
      <c r="H947" s="2" t="s">
        <v>14</v>
      </c>
    </row>
    <row r="948" customFormat="false" ht="22.35" hidden="false" customHeight="false" outlineLevel="0" collapsed="false">
      <c r="A948" s="2" t="n">
        <v>947</v>
      </c>
      <c r="B948" s="5" t="s">
        <v>2773</v>
      </c>
      <c r="C948" s="2" t="s">
        <v>2774</v>
      </c>
      <c r="D948" s="2" t="s">
        <v>2629</v>
      </c>
      <c r="E948" s="2" t="s">
        <v>2309</v>
      </c>
      <c r="F948" s="2" t="s">
        <v>92</v>
      </c>
      <c r="G948" s="2" t="s">
        <v>28</v>
      </c>
      <c r="H948" s="2" t="s">
        <v>14</v>
      </c>
    </row>
    <row r="949" customFormat="false" ht="15" hidden="false" customHeight="false" outlineLevel="0" collapsed="false">
      <c r="A949" s="2" t="n">
        <v>948</v>
      </c>
      <c r="B949" s="5" t="s">
        <v>2775</v>
      </c>
      <c r="C949" s="2" t="s">
        <v>2776</v>
      </c>
      <c r="D949" s="2" t="s">
        <v>2629</v>
      </c>
      <c r="E949" s="2" t="s">
        <v>844</v>
      </c>
      <c r="F949" s="2" t="s">
        <v>124</v>
      </c>
      <c r="G949" s="2" t="s">
        <v>13</v>
      </c>
      <c r="H949" s="2" t="s">
        <v>14</v>
      </c>
    </row>
    <row r="950" customFormat="false" ht="32.8" hidden="false" customHeight="false" outlineLevel="0" collapsed="false">
      <c r="A950" s="2" t="n">
        <v>949</v>
      </c>
      <c r="B950" s="3" t="s">
        <v>2777</v>
      </c>
      <c r="C950" s="2" t="s">
        <v>2778</v>
      </c>
      <c r="D950" s="2" t="s">
        <v>2629</v>
      </c>
      <c r="E950" s="2" t="s">
        <v>844</v>
      </c>
      <c r="F950" s="4" t="s">
        <v>2779</v>
      </c>
      <c r="G950" s="2" t="s">
        <v>13</v>
      </c>
      <c r="H950" s="2" t="s">
        <v>14</v>
      </c>
    </row>
    <row r="951" customFormat="false" ht="15" hidden="false" customHeight="false" outlineLevel="0" collapsed="false">
      <c r="A951" s="2" t="n">
        <v>950</v>
      </c>
      <c r="B951" s="5" t="s">
        <v>2780</v>
      </c>
      <c r="C951" s="2" t="s">
        <v>2781</v>
      </c>
      <c r="D951" s="2" t="s">
        <v>2629</v>
      </c>
      <c r="E951" s="2" t="s">
        <v>844</v>
      </c>
      <c r="F951" s="2" t="s">
        <v>2782</v>
      </c>
      <c r="G951" s="2" t="s">
        <v>13</v>
      </c>
      <c r="H951" s="2" t="s">
        <v>14</v>
      </c>
    </row>
    <row r="952" customFormat="false" ht="22.35" hidden="false" customHeight="false" outlineLevel="0" collapsed="false">
      <c r="A952" s="2" t="n">
        <v>951</v>
      </c>
      <c r="B952" s="5" t="s">
        <v>2783</v>
      </c>
      <c r="C952" s="2" t="s">
        <v>2784</v>
      </c>
      <c r="D952" s="2" t="s">
        <v>2629</v>
      </c>
      <c r="E952" s="2" t="s">
        <v>844</v>
      </c>
      <c r="F952" s="2" t="s">
        <v>2785</v>
      </c>
      <c r="G952" s="2" t="s">
        <v>28</v>
      </c>
      <c r="H952" s="2" t="s">
        <v>14</v>
      </c>
    </row>
    <row r="953" customFormat="false" ht="22.35" hidden="false" customHeight="false" outlineLevel="0" collapsed="false">
      <c r="A953" s="2" t="n">
        <v>952</v>
      </c>
      <c r="B953" s="3" t="s">
        <v>2786</v>
      </c>
      <c r="C953" s="2" t="s">
        <v>2787</v>
      </c>
      <c r="D953" s="2" t="s">
        <v>2629</v>
      </c>
      <c r="E953" s="2" t="s">
        <v>2788</v>
      </c>
      <c r="F953" s="4" t="s">
        <v>841</v>
      </c>
      <c r="G953" s="2" t="s">
        <v>13</v>
      </c>
      <c r="H953" s="2" t="s">
        <v>14</v>
      </c>
    </row>
    <row r="954" customFormat="false" ht="32.8" hidden="false" customHeight="false" outlineLevel="0" collapsed="false">
      <c r="A954" s="2" t="n">
        <v>953</v>
      </c>
      <c r="B954" s="3" t="s">
        <v>2789</v>
      </c>
      <c r="C954" s="2" t="s">
        <v>2790</v>
      </c>
      <c r="D954" s="2" t="s">
        <v>2629</v>
      </c>
      <c r="E954" s="2" t="s">
        <v>844</v>
      </c>
      <c r="F954" s="4" t="s">
        <v>2791</v>
      </c>
      <c r="G954" s="2" t="s">
        <v>13</v>
      </c>
      <c r="H954" s="2" t="s">
        <v>14</v>
      </c>
    </row>
    <row r="955" customFormat="false" ht="22.35" hidden="false" customHeight="false" outlineLevel="0" collapsed="false">
      <c r="A955" s="2" t="n">
        <v>954</v>
      </c>
      <c r="B955" s="3" t="s">
        <v>2792</v>
      </c>
      <c r="C955" s="2" t="s">
        <v>2793</v>
      </c>
      <c r="D955" s="2" t="s">
        <v>2629</v>
      </c>
      <c r="E955" s="2" t="s">
        <v>844</v>
      </c>
      <c r="F955" s="4" t="s">
        <v>1509</v>
      </c>
      <c r="G955" s="2" t="s">
        <v>13</v>
      </c>
      <c r="H955" s="2" t="s">
        <v>14</v>
      </c>
    </row>
    <row r="956" customFormat="false" ht="22.35" hidden="false" customHeight="false" outlineLevel="0" collapsed="false">
      <c r="A956" s="2" t="n">
        <v>955</v>
      </c>
      <c r="B956" s="5" t="s">
        <v>2794</v>
      </c>
      <c r="C956" s="2" t="s">
        <v>2795</v>
      </c>
      <c r="D956" s="2" t="s">
        <v>2629</v>
      </c>
      <c r="E956" s="2" t="s">
        <v>844</v>
      </c>
      <c r="F956" s="2" t="s">
        <v>2796</v>
      </c>
      <c r="G956" s="2" t="s">
        <v>13</v>
      </c>
      <c r="H956" s="2" t="s">
        <v>14</v>
      </c>
    </row>
    <row r="957" customFormat="false" ht="22.35" hidden="false" customHeight="false" outlineLevel="0" collapsed="false">
      <c r="A957" s="2" t="n">
        <v>956</v>
      </c>
      <c r="B957" s="5" t="s">
        <v>2797</v>
      </c>
      <c r="C957" s="2" t="s">
        <v>2798</v>
      </c>
      <c r="D957" s="2" t="s">
        <v>2629</v>
      </c>
      <c r="E957" s="2" t="s">
        <v>2301</v>
      </c>
      <c r="F957" s="2" t="s">
        <v>2799</v>
      </c>
      <c r="G957" s="2" t="s">
        <v>13</v>
      </c>
      <c r="H957" s="2" t="s">
        <v>14</v>
      </c>
    </row>
    <row r="958" customFormat="false" ht="15" hidden="false" customHeight="false" outlineLevel="0" collapsed="false">
      <c r="A958" s="2" t="n">
        <v>957</v>
      </c>
      <c r="B958" s="5" t="s">
        <v>2800</v>
      </c>
      <c r="C958" s="2" t="s">
        <v>2801</v>
      </c>
      <c r="D958" s="2" t="s">
        <v>2629</v>
      </c>
      <c r="E958" s="2" t="s">
        <v>844</v>
      </c>
      <c r="F958" s="2" t="s">
        <v>2802</v>
      </c>
      <c r="G958" s="2" t="s">
        <v>13</v>
      </c>
      <c r="H958" s="2" t="s">
        <v>14</v>
      </c>
    </row>
    <row r="959" customFormat="false" ht="15" hidden="false" customHeight="false" outlineLevel="0" collapsed="false">
      <c r="A959" s="2" t="n">
        <v>958</v>
      </c>
      <c r="B959" s="3" t="s">
        <v>2803</v>
      </c>
      <c r="C959" s="2" t="s">
        <v>2804</v>
      </c>
      <c r="D959" s="2" t="s">
        <v>2629</v>
      </c>
      <c r="E959" s="2" t="s">
        <v>2805</v>
      </c>
      <c r="F959" s="4" t="s">
        <v>1509</v>
      </c>
      <c r="G959" s="2" t="s">
        <v>13</v>
      </c>
      <c r="H959" s="2" t="s">
        <v>14</v>
      </c>
    </row>
    <row r="960" customFormat="false" ht="22.35" hidden="false" customHeight="false" outlineLevel="0" collapsed="false">
      <c r="A960" s="2" t="n">
        <v>959</v>
      </c>
      <c r="B960" s="5" t="s">
        <v>2806</v>
      </c>
      <c r="C960" s="2" t="s">
        <v>2807</v>
      </c>
      <c r="D960" s="2" t="s">
        <v>2629</v>
      </c>
      <c r="E960" s="2" t="s">
        <v>2808</v>
      </c>
      <c r="F960" s="2" t="s">
        <v>422</v>
      </c>
      <c r="G960" s="2" t="s">
        <v>28</v>
      </c>
      <c r="H960" s="2" t="s">
        <v>14</v>
      </c>
    </row>
    <row r="961" customFormat="false" ht="22.35" hidden="false" customHeight="false" outlineLevel="0" collapsed="false">
      <c r="A961" s="2" t="n">
        <v>960</v>
      </c>
      <c r="B961" s="5" t="s">
        <v>2809</v>
      </c>
      <c r="C961" s="2" t="s">
        <v>2810</v>
      </c>
      <c r="D961" s="2" t="s">
        <v>2629</v>
      </c>
      <c r="E961" s="2" t="s">
        <v>844</v>
      </c>
      <c r="F961" s="2" t="s">
        <v>2811</v>
      </c>
      <c r="G961" s="2" t="s">
        <v>28</v>
      </c>
      <c r="H961" s="2" t="s">
        <v>14</v>
      </c>
    </row>
    <row r="962" customFormat="false" ht="15" hidden="false" customHeight="false" outlineLevel="0" collapsed="false">
      <c r="A962" s="2" t="n">
        <v>961</v>
      </c>
      <c r="B962" s="5" t="s">
        <v>2812</v>
      </c>
      <c r="C962" s="2" t="s">
        <v>2813</v>
      </c>
      <c r="D962" s="2" t="s">
        <v>2629</v>
      </c>
      <c r="E962" s="2" t="s">
        <v>844</v>
      </c>
      <c r="F962" s="2" t="s">
        <v>2532</v>
      </c>
      <c r="G962" s="2" t="s">
        <v>13</v>
      </c>
      <c r="H962" s="2" t="s">
        <v>14</v>
      </c>
    </row>
    <row r="963" customFormat="false" ht="15" hidden="false" customHeight="false" outlineLevel="0" collapsed="false">
      <c r="A963" s="2" t="n">
        <v>962</v>
      </c>
      <c r="B963" s="5" t="s">
        <v>2814</v>
      </c>
      <c r="C963" s="2" t="s">
        <v>2815</v>
      </c>
      <c r="D963" s="2" t="s">
        <v>2629</v>
      </c>
      <c r="E963" s="2" t="s">
        <v>844</v>
      </c>
      <c r="F963" s="2" t="s">
        <v>2816</v>
      </c>
      <c r="G963" s="2" t="s">
        <v>28</v>
      </c>
      <c r="H963" s="2" t="s">
        <v>14</v>
      </c>
    </row>
    <row r="964" customFormat="false" ht="15" hidden="false" customHeight="false" outlineLevel="0" collapsed="false">
      <c r="A964" s="2" t="n">
        <v>963</v>
      </c>
      <c r="B964" s="5" t="s">
        <v>2817</v>
      </c>
      <c r="C964" s="2" t="s">
        <v>2818</v>
      </c>
      <c r="D964" s="2" t="s">
        <v>2629</v>
      </c>
      <c r="E964" s="2" t="s">
        <v>844</v>
      </c>
      <c r="F964" s="2" t="s">
        <v>188</v>
      </c>
      <c r="G964" s="2" t="s">
        <v>13</v>
      </c>
      <c r="H964" s="2" t="s">
        <v>14</v>
      </c>
    </row>
    <row r="965" customFormat="false" ht="22.35" hidden="false" customHeight="false" outlineLevel="0" collapsed="false">
      <c r="A965" s="2" t="n">
        <v>964</v>
      </c>
      <c r="B965" s="5" t="s">
        <v>2819</v>
      </c>
      <c r="C965" s="2" t="s">
        <v>2820</v>
      </c>
      <c r="D965" s="2" t="s">
        <v>2629</v>
      </c>
      <c r="E965" s="2" t="s">
        <v>2821</v>
      </c>
      <c r="F965" s="2" t="s">
        <v>2306</v>
      </c>
      <c r="G965" s="2" t="s">
        <v>28</v>
      </c>
      <c r="H965" s="2" t="s">
        <v>14</v>
      </c>
    </row>
    <row r="966" customFormat="false" ht="15" hidden="false" customHeight="false" outlineLevel="0" collapsed="false">
      <c r="A966" s="2" t="n">
        <v>965</v>
      </c>
      <c r="B966" s="5" t="s">
        <v>2822</v>
      </c>
      <c r="C966" s="2" t="s">
        <v>2823</v>
      </c>
      <c r="D966" s="2" t="s">
        <v>2629</v>
      </c>
      <c r="E966" s="2" t="s">
        <v>2732</v>
      </c>
      <c r="F966" s="2" t="s">
        <v>2824</v>
      </c>
      <c r="G966" s="2" t="s">
        <v>13</v>
      </c>
      <c r="H966" s="2" t="s">
        <v>14</v>
      </c>
    </row>
    <row r="967" customFormat="false" ht="15" hidden="false" customHeight="false" outlineLevel="0" collapsed="false">
      <c r="A967" s="2" t="n">
        <v>966</v>
      </c>
      <c r="B967" s="5" t="s">
        <v>2825</v>
      </c>
      <c r="C967" s="2" t="s">
        <v>2826</v>
      </c>
      <c r="D967" s="2" t="s">
        <v>2629</v>
      </c>
      <c r="E967" s="2" t="s">
        <v>2412</v>
      </c>
      <c r="F967" s="2" t="s">
        <v>2827</v>
      </c>
      <c r="G967" s="2" t="s">
        <v>13</v>
      </c>
      <c r="H967" s="2" t="s">
        <v>14</v>
      </c>
    </row>
    <row r="968" customFormat="false" ht="22.35" hidden="false" customHeight="false" outlineLevel="0" collapsed="false">
      <c r="A968" s="2" t="n">
        <v>967</v>
      </c>
      <c r="B968" s="3" t="s">
        <v>2828</v>
      </c>
      <c r="C968" s="2" t="s">
        <v>2829</v>
      </c>
      <c r="D968" s="2" t="s">
        <v>2629</v>
      </c>
      <c r="E968" s="2" t="s">
        <v>844</v>
      </c>
      <c r="F968" s="4" t="s">
        <v>2454</v>
      </c>
      <c r="G968" s="2" t="s">
        <v>13</v>
      </c>
      <c r="H968" s="2" t="s">
        <v>14</v>
      </c>
    </row>
    <row r="969" customFormat="false" ht="32.8" hidden="false" customHeight="false" outlineLevel="0" collapsed="false">
      <c r="A969" s="2" t="n">
        <v>968</v>
      </c>
      <c r="B969" s="3" t="s">
        <v>2830</v>
      </c>
      <c r="C969" s="2" t="s">
        <v>2831</v>
      </c>
      <c r="D969" s="2" t="s">
        <v>2629</v>
      </c>
      <c r="E969" s="2" t="s">
        <v>844</v>
      </c>
      <c r="F969" s="4" t="s">
        <v>2832</v>
      </c>
      <c r="G969" s="2" t="s">
        <v>13</v>
      </c>
      <c r="H969" s="2" t="s">
        <v>14</v>
      </c>
    </row>
    <row r="970" customFormat="false" ht="22.35" hidden="false" customHeight="false" outlineLevel="0" collapsed="false">
      <c r="A970" s="2" t="n">
        <v>969</v>
      </c>
      <c r="B970" s="3" t="s">
        <v>2833</v>
      </c>
      <c r="C970" s="2" t="s">
        <v>2834</v>
      </c>
      <c r="D970" s="2" t="s">
        <v>2835</v>
      </c>
      <c r="E970" s="2" t="s">
        <v>844</v>
      </c>
      <c r="F970" s="4" t="s">
        <v>2541</v>
      </c>
      <c r="G970" s="2" t="s">
        <v>13</v>
      </c>
      <c r="H970" s="2" t="s">
        <v>14</v>
      </c>
    </row>
    <row r="971" customFormat="false" ht="22.35" hidden="false" customHeight="false" outlineLevel="0" collapsed="false">
      <c r="A971" s="2" t="n">
        <v>970</v>
      </c>
      <c r="B971" s="5" t="s">
        <v>2836</v>
      </c>
      <c r="C971" s="2" t="s">
        <v>2837</v>
      </c>
      <c r="D971" s="2" t="s">
        <v>2835</v>
      </c>
      <c r="E971" s="2" t="s">
        <v>844</v>
      </c>
      <c r="F971" s="2" t="s">
        <v>776</v>
      </c>
      <c r="G971" s="2" t="s">
        <v>13</v>
      </c>
      <c r="H971" s="2" t="s">
        <v>14</v>
      </c>
    </row>
    <row r="972" customFormat="false" ht="15" hidden="false" customHeight="false" outlineLevel="0" collapsed="false">
      <c r="A972" s="2" t="n">
        <v>971</v>
      </c>
      <c r="B972" s="5" t="s">
        <v>2838</v>
      </c>
      <c r="C972" s="2" t="s">
        <v>2839</v>
      </c>
      <c r="D972" s="2" t="s">
        <v>2835</v>
      </c>
      <c r="E972" s="2" t="s">
        <v>1342</v>
      </c>
      <c r="F972" s="2" t="s">
        <v>1145</v>
      </c>
      <c r="G972" s="2" t="s">
        <v>13</v>
      </c>
      <c r="H972" s="2" t="s">
        <v>14</v>
      </c>
    </row>
    <row r="973" customFormat="false" ht="22.35" hidden="false" customHeight="false" outlineLevel="0" collapsed="false">
      <c r="A973" s="2" t="n">
        <v>972</v>
      </c>
      <c r="B973" s="5" t="s">
        <v>2840</v>
      </c>
      <c r="C973" s="2" t="s">
        <v>2841</v>
      </c>
      <c r="D973" s="2" t="s">
        <v>2835</v>
      </c>
      <c r="E973" s="2" t="s">
        <v>844</v>
      </c>
      <c r="F973" s="2" t="s">
        <v>2842</v>
      </c>
      <c r="G973" s="2" t="s">
        <v>28</v>
      </c>
      <c r="H973" s="2" t="s">
        <v>14</v>
      </c>
    </row>
    <row r="974" customFormat="false" ht="22.35" hidden="false" customHeight="false" outlineLevel="0" collapsed="false">
      <c r="A974" s="2" t="n">
        <v>973</v>
      </c>
      <c r="B974" s="5" t="s">
        <v>2843</v>
      </c>
      <c r="C974" s="2" t="s">
        <v>2844</v>
      </c>
      <c r="D974" s="2" t="s">
        <v>2835</v>
      </c>
      <c r="E974" s="2" t="s">
        <v>844</v>
      </c>
      <c r="F974" s="2" t="s">
        <v>2845</v>
      </c>
      <c r="G974" s="2" t="s">
        <v>13</v>
      </c>
      <c r="H974" s="2" t="s">
        <v>14</v>
      </c>
    </row>
    <row r="975" customFormat="false" ht="22.35" hidden="false" customHeight="false" outlineLevel="0" collapsed="false">
      <c r="A975" s="2" t="n">
        <v>974</v>
      </c>
      <c r="B975" s="5" t="s">
        <v>2846</v>
      </c>
      <c r="C975" s="2" t="s">
        <v>2847</v>
      </c>
      <c r="D975" s="2" t="s">
        <v>153</v>
      </c>
      <c r="E975" s="2" t="s">
        <v>110</v>
      </c>
      <c r="F975" s="2" t="s">
        <v>2848</v>
      </c>
      <c r="G975" s="2" t="s">
        <v>13</v>
      </c>
      <c r="H975" s="2" t="s">
        <v>14</v>
      </c>
    </row>
    <row r="976" customFormat="false" ht="22.35" hidden="false" customHeight="false" outlineLevel="0" collapsed="false">
      <c r="A976" s="2" t="n">
        <v>975</v>
      </c>
      <c r="B976" s="5" t="s">
        <v>2849</v>
      </c>
      <c r="C976" s="2" t="s">
        <v>2850</v>
      </c>
      <c r="D976" s="2" t="s">
        <v>2835</v>
      </c>
      <c r="E976" s="2" t="s">
        <v>844</v>
      </c>
      <c r="F976" s="2" t="s">
        <v>2851</v>
      </c>
      <c r="G976" s="2" t="s">
        <v>13</v>
      </c>
      <c r="H976" s="2" t="s">
        <v>14</v>
      </c>
    </row>
    <row r="977" customFormat="false" ht="22.35" hidden="false" customHeight="false" outlineLevel="0" collapsed="false">
      <c r="A977" s="2" t="n">
        <v>976</v>
      </c>
      <c r="B977" s="3" t="s">
        <v>2852</v>
      </c>
      <c r="C977" s="2" t="s">
        <v>2853</v>
      </c>
      <c r="D977" s="2" t="s">
        <v>2835</v>
      </c>
      <c r="E977" s="2" t="s">
        <v>2854</v>
      </c>
      <c r="F977" s="4" t="s">
        <v>2855</v>
      </c>
      <c r="G977" s="2" t="s">
        <v>13</v>
      </c>
      <c r="H977" s="2" t="s">
        <v>14</v>
      </c>
    </row>
    <row r="978" customFormat="false" ht="22.35" hidden="false" customHeight="false" outlineLevel="0" collapsed="false">
      <c r="A978" s="2" t="n">
        <v>977</v>
      </c>
      <c r="B978" s="3" t="s">
        <v>2856</v>
      </c>
      <c r="C978" s="2" t="s">
        <v>2857</v>
      </c>
      <c r="D978" s="2" t="s">
        <v>2858</v>
      </c>
      <c r="E978" s="2" t="s">
        <v>1863</v>
      </c>
      <c r="F978" s="4" t="s">
        <v>1860</v>
      </c>
      <c r="G978" s="2" t="s">
        <v>13</v>
      </c>
      <c r="H978" s="2" t="s">
        <v>14</v>
      </c>
    </row>
    <row r="979" customFormat="false" ht="22.35" hidden="false" customHeight="false" outlineLevel="0" collapsed="false">
      <c r="A979" s="2" t="n">
        <v>978</v>
      </c>
      <c r="B979" s="5" t="s">
        <v>2859</v>
      </c>
      <c r="C979" s="2" t="s">
        <v>2860</v>
      </c>
      <c r="D979" s="2" t="s">
        <v>2858</v>
      </c>
      <c r="E979" s="2" t="s">
        <v>1863</v>
      </c>
      <c r="F979" s="2" t="s">
        <v>1023</v>
      </c>
      <c r="G979" s="2" t="s">
        <v>13</v>
      </c>
      <c r="H979" s="2" t="s">
        <v>14</v>
      </c>
    </row>
    <row r="980" customFormat="false" ht="22.35" hidden="false" customHeight="false" outlineLevel="0" collapsed="false">
      <c r="A980" s="2" t="n">
        <v>979</v>
      </c>
      <c r="B980" s="3" t="s">
        <v>2861</v>
      </c>
      <c r="C980" s="2" t="s">
        <v>2862</v>
      </c>
      <c r="D980" s="2" t="s">
        <v>2835</v>
      </c>
      <c r="E980" s="2" t="s">
        <v>2665</v>
      </c>
      <c r="F980" s="4" t="s">
        <v>2863</v>
      </c>
      <c r="G980" s="2" t="s">
        <v>13</v>
      </c>
      <c r="H980" s="2" t="s">
        <v>14</v>
      </c>
    </row>
    <row r="981" customFormat="false" ht="22.35" hidden="false" customHeight="false" outlineLevel="0" collapsed="false">
      <c r="A981" s="2" t="n">
        <v>980</v>
      </c>
      <c r="B981" s="3" t="s">
        <v>2864</v>
      </c>
      <c r="C981" s="2" t="s">
        <v>2865</v>
      </c>
      <c r="D981" s="2" t="s">
        <v>2835</v>
      </c>
      <c r="E981" s="2" t="s">
        <v>2866</v>
      </c>
      <c r="F981" s="4" t="s">
        <v>2867</v>
      </c>
      <c r="G981" s="2" t="s">
        <v>13</v>
      </c>
      <c r="H981" s="2" t="s">
        <v>14</v>
      </c>
    </row>
    <row r="982" customFormat="false" ht="22.35" hidden="false" customHeight="false" outlineLevel="0" collapsed="false">
      <c r="A982" s="2" t="n">
        <v>981</v>
      </c>
      <c r="B982" s="3" t="s">
        <v>2868</v>
      </c>
      <c r="C982" s="2" t="s">
        <v>2869</v>
      </c>
      <c r="D982" s="2" t="s">
        <v>2858</v>
      </c>
      <c r="E982" s="2" t="s">
        <v>844</v>
      </c>
      <c r="F982" s="4" t="s">
        <v>2384</v>
      </c>
      <c r="G982" s="2" t="s">
        <v>13</v>
      </c>
      <c r="H982" s="2" t="s">
        <v>14</v>
      </c>
    </row>
    <row r="983" customFormat="false" ht="22.35" hidden="false" customHeight="false" outlineLevel="0" collapsed="false">
      <c r="A983" s="2" t="n">
        <v>982</v>
      </c>
      <c r="B983" s="5" t="s">
        <v>2870</v>
      </c>
      <c r="C983" s="2" t="s">
        <v>2871</v>
      </c>
      <c r="D983" s="2" t="s">
        <v>2835</v>
      </c>
      <c r="E983" s="2" t="s">
        <v>844</v>
      </c>
      <c r="F983" s="2" t="s">
        <v>2872</v>
      </c>
      <c r="G983" s="2" t="s">
        <v>28</v>
      </c>
      <c r="H983" s="2" t="s">
        <v>14</v>
      </c>
    </row>
    <row r="984" customFormat="false" ht="15" hidden="false" customHeight="false" outlineLevel="0" collapsed="false">
      <c r="A984" s="2" t="n">
        <v>983</v>
      </c>
      <c r="B984" s="5" t="s">
        <v>2873</v>
      </c>
      <c r="C984" s="2" t="s">
        <v>2874</v>
      </c>
      <c r="D984" s="2" t="s">
        <v>2835</v>
      </c>
      <c r="E984" s="2" t="s">
        <v>844</v>
      </c>
      <c r="F984" s="2" t="s">
        <v>2376</v>
      </c>
      <c r="G984" s="2" t="s">
        <v>13</v>
      </c>
      <c r="H984" s="2" t="s">
        <v>14</v>
      </c>
    </row>
    <row r="985" customFormat="false" ht="22.35" hidden="false" customHeight="false" outlineLevel="0" collapsed="false">
      <c r="A985" s="2" t="n">
        <v>984</v>
      </c>
      <c r="B985" s="5" t="s">
        <v>2875</v>
      </c>
      <c r="C985" s="2" t="s">
        <v>2876</v>
      </c>
      <c r="D985" s="2" t="s">
        <v>2835</v>
      </c>
      <c r="E985" s="2" t="s">
        <v>829</v>
      </c>
      <c r="F985" s="2" t="s">
        <v>2306</v>
      </c>
      <c r="G985" s="2" t="s">
        <v>28</v>
      </c>
      <c r="H985" s="2" t="s">
        <v>14</v>
      </c>
    </row>
    <row r="986" customFormat="false" ht="22.35" hidden="false" customHeight="false" outlineLevel="0" collapsed="false">
      <c r="A986" s="2" t="n">
        <v>985</v>
      </c>
      <c r="B986" s="5" t="s">
        <v>2877</v>
      </c>
      <c r="C986" s="2" t="s">
        <v>2878</v>
      </c>
      <c r="D986" s="2" t="s">
        <v>2835</v>
      </c>
      <c r="E986" s="2" t="s">
        <v>2879</v>
      </c>
      <c r="F986" s="2" t="s">
        <v>2880</v>
      </c>
      <c r="G986" s="2" t="s">
        <v>13</v>
      </c>
      <c r="H986" s="2" t="s">
        <v>14</v>
      </c>
    </row>
    <row r="987" customFormat="false" ht="15" hidden="false" customHeight="false" outlineLevel="0" collapsed="false">
      <c r="A987" s="2" t="n">
        <v>986</v>
      </c>
      <c r="B987" s="5" t="s">
        <v>2881</v>
      </c>
      <c r="C987" s="2" t="s">
        <v>2882</v>
      </c>
      <c r="D987" s="2" t="s">
        <v>10</v>
      </c>
      <c r="E987" s="2" t="s">
        <v>844</v>
      </c>
      <c r="F987" s="2" t="s">
        <v>524</v>
      </c>
      <c r="G987" s="2" t="s">
        <v>13</v>
      </c>
      <c r="H987" s="2" t="s">
        <v>14</v>
      </c>
    </row>
    <row r="988" customFormat="false" ht="15" hidden="false" customHeight="false" outlineLevel="0" collapsed="false">
      <c r="A988" s="2" t="n">
        <v>987</v>
      </c>
      <c r="B988" s="5" t="s">
        <v>2883</v>
      </c>
      <c r="C988" s="2" t="s">
        <v>2884</v>
      </c>
      <c r="D988" s="2" t="s">
        <v>2835</v>
      </c>
      <c r="E988" s="2" t="s">
        <v>844</v>
      </c>
      <c r="F988" s="2" t="s">
        <v>2885</v>
      </c>
      <c r="G988" s="2" t="s">
        <v>13</v>
      </c>
      <c r="H988" s="2" t="s">
        <v>14</v>
      </c>
    </row>
    <row r="989" customFormat="false" ht="22.35" hidden="false" customHeight="false" outlineLevel="0" collapsed="false">
      <c r="A989" s="2" t="n">
        <v>988</v>
      </c>
      <c r="B989" s="3" t="s">
        <v>2886</v>
      </c>
      <c r="C989" s="2" t="s">
        <v>2887</v>
      </c>
      <c r="D989" s="2" t="s">
        <v>2835</v>
      </c>
      <c r="E989" s="2" t="s">
        <v>844</v>
      </c>
      <c r="F989" s="4" t="s">
        <v>2888</v>
      </c>
      <c r="G989" s="2" t="s">
        <v>13</v>
      </c>
      <c r="H989" s="2" t="s">
        <v>14</v>
      </c>
    </row>
    <row r="990" customFormat="false" ht="22.35" hidden="false" customHeight="false" outlineLevel="0" collapsed="false">
      <c r="A990" s="2" t="n">
        <v>989</v>
      </c>
      <c r="B990" s="5" t="s">
        <v>2889</v>
      </c>
      <c r="C990" s="2" t="s">
        <v>2890</v>
      </c>
      <c r="D990" s="2" t="s">
        <v>2891</v>
      </c>
      <c r="E990" s="2" t="s">
        <v>2892</v>
      </c>
      <c r="F990" s="2" t="s">
        <v>2893</v>
      </c>
      <c r="G990" s="2" t="s">
        <v>28</v>
      </c>
      <c r="H990" s="2" t="s">
        <v>14</v>
      </c>
    </row>
    <row r="991" customFormat="false" ht="22.35" hidden="false" customHeight="false" outlineLevel="0" collapsed="false">
      <c r="A991" s="2" t="n">
        <v>990</v>
      </c>
      <c r="B991" s="5" t="s">
        <v>2894</v>
      </c>
      <c r="C991" s="2" t="s">
        <v>2895</v>
      </c>
      <c r="D991" s="2" t="s">
        <v>2891</v>
      </c>
      <c r="E991" s="2" t="s">
        <v>1195</v>
      </c>
      <c r="F991" s="2" t="s">
        <v>2896</v>
      </c>
      <c r="G991" s="2" t="s">
        <v>28</v>
      </c>
      <c r="H991" s="2" t="s">
        <v>14</v>
      </c>
    </row>
    <row r="992" customFormat="false" ht="15" hidden="false" customHeight="false" outlineLevel="0" collapsed="false">
      <c r="A992" s="2" t="n">
        <v>991</v>
      </c>
      <c r="B992" s="5" t="s">
        <v>2897</v>
      </c>
      <c r="C992" s="2" t="s">
        <v>2898</v>
      </c>
      <c r="D992" s="2" t="s">
        <v>2891</v>
      </c>
      <c r="E992" s="2" t="s">
        <v>872</v>
      </c>
      <c r="F992" s="2" t="s">
        <v>2899</v>
      </c>
      <c r="G992" s="2" t="s">
        <v>28</v>
      </c>
      <c r="H992" s="2" t="s">
        <v>14</v>
      </c>
    </row>
    <row r="993" customFormat="false" ht="15" hidden="false" customHeight="false" outlineLevel="0" collapsed="false">
      <c r="A993" s="2" t="n">
        <v>992</v>
      </c>
      <c r="B993" s="5" t="s">
        <v>2900</v>
      </c>
      <c r="C993" s="2" t="s">
        <v>2901</v>
      </c>
      <c r="D993" s="2" t="s">
        <v>2891</v>
      </c>
      <c r="E993" s="2" t="s">
        <v>844</v>
      </c>
      <c r="F993" s="2" t="s">
        <v>157</v>
      </c>
      <c r="G993" s="2" t="s">
        <v>28</v>
      </c>
      <c r="H993" s="2" t="s">
        <v>14</v>
      </c>
    </row>
    <row r="994" customFormat="false" ht="15" hidden="false" customHeight="false" outlineLevel="0" collapsed="false">
      <c r="A994" s="2" t="n">
        <v>993</v>
      </c>
      <c r="B994" s="5" t="s">
        <v>2902</v>
      </c>
      <c r="C994" s="2" t="s">
        <v>2903</v>
      </c>
      <c r="D994" s="2" t="s">
        <v>2891</v>
      </c>
      <c r="E994" s="2" t="s">
        <v>844</v>
      </c>
      <c r="F994" s="2" t="s">
        <v>191</v>
      </c>
      <c r="G994" s="2" t="s">
        <v>28</v>
      </c>
      <c r="H994" s="2" t="s">
        <v>14</v>
      </c>
    </row>
    <row r="995" customFormat="false" ht="15" hidden="false" customHeight="false" outlineLevel="0" collapsed="false">
      <c r="A995" s="2" t="n">
        <v>994</v>
      </c>
      <c r="B995" s="5" t="s">
        <v>2904</v>
      </c>
      <c r="C995" s="2" t="s">
        <v>2905</v>
      </c>
      <c r="D995" s="2" t="s">
        <v>2891</v>
      </c>
      <c r="E995" s="2" t="s">
        <v>872</v>
      </c>
      <c r="F995" s="2" t="s">
        <v>2906</v>
      </c>
      <c r="G995" s="2" t="s">
        <v>28</v>
      </c>
      <c r="H995" s="2" t="s">
        <v>14</v>
      </c>
    </row>
    <row r="996" customFormat="false" ht="22.35" hidden="false" customHeight="false" outlineLevel="0" collapsed="false">
      <c r="A996" s="2" t="n">
        <v>995</v>
      </c>
      <c r="B996" s="5" t="s">
        <v>2907</v>
      </c>
      <c r="C996" s="2" t="s">
        <v>2908</v>
      </c>
      <c r="D996" s="2" t="s">
        <v>2891</v>
      </c>
      <c r="E996" s="2" t="s">
        <v>2909</v>
      </c>
      <c r="F996" s="2" t="s">
        <v>1397</v>
      </c>
      <c r="G996" s="2" t="s">
        <v>28</v>
      </c>
      <c r="H996" s="2" t="s">
        <v>14</v>
      </c>
    </row>
    <row r="997" customFormat="false" ht="32.8" hidden="false" customHeight="false" outlineLevel="0" collapsed="false">
      <c r="A997" s="2" t="n">
        <v>996</v>
      </c>
      <c r="B997" s="3" t="s">
        <v>2910</v>
      </c>
      <c r="C997" s="2" t="s">
        <v>2911</v>
      </c>
      <c r="D997" s="2" t="s">
        <v>2609</v>
      </c>
      <c r="E997" s="2" t="s">
        <v>844</v>
      </c>
      <c r="F997" s="4" t="s">
        <v>2912</v>
      </c>
      <c r="G997" s="2" t="s">
        <v>13</v>
      </c>
      <c r="H997" s="2" t="s">
        <v>14</v>
      </c>
    </row>
    <row r="998" customFormat="false" ht="22.35" hidden="false" customHeight="false" outlineLevel="0" collapsed="false">
      <c r="A998" s="2" t="n">
        <v>997</v>
      </c>
      <c r="B998" s="3" t="s">
        <v>2913</v>
      </c>
      <c r="C998" s="2" t="s">
        <v>2914</v>
      </c>
      <c r="D998" s="2" t="s">
        <v>2609</v>
      </c>
      <c r="E998" s="2" t="s">
        <v>844</v>
      </c>
      <c r="F998" s="4" t="s">
        <v>2915</v>
      </c>
      <c r="G998" s="2" t="s">
        <v>13</v>
      </c>
      <c r="H998" s="2" t="s">
        <v>14</v>
      </c>
    </row>
    <row r="999" customFormat="false" ht="22.35" hidden="false" customHeight="false" outlineLevel="0" collapsed="false">
      <c r="A999" s="2" t="n">
        <v>998</v>
      </c>
      <c r="B999" s="3" t="s">
        <v>2916</v>
      </c>
      <c r="C999" s="2" t="s">
        <v>2917</v>
      </c>
      <c r="D999" s="2" t="s">
        <v>2918</v>
      </c>
      <c r="E999" s="2" t="s">
        <v>1574</v>
      </c>
      <c r="F999" s="4" t="s">
        <v>2919</v>
      </c>
      <c r="G999" s="2" t="s">
        <v>28</v>
      </c>
      <c r="H999" s="2" t="s">
        <v>14</v>
      </c>
    </row>
    <row r="1000" customFormat="false" ht="15" hidden="false" customHeight="false" outlineLevel="0" collapsed="false">
      <c r="A1000" s="2" t="n">
        <v>999</v>
      </c>
      <c r="B1000" s="5" t="s">
        <v>2920</v>
      </c>
      <c r="C1000" s="2" t="s">
        <v>2921</v>
      </c>
      <c r="D1000" s="2" t="s">
        <v>2609</v>
      </c>
      <c r="E1000" s="2" t="s">
        <v>2353</v>
      </c>
      <c r="F1000" s="2" t="s">
        <v>2922</v>
      </c>
      <c r="G1000" s="2" t="s">
        <v>13</v>
      </c>
      <c r="H1000" s="2" t="s">
        <v>14</v>
      </c>
    </row>
    <row r="1001" customFormat="false" ht="15" hidden="false" customHeight="false" outlineLevel="0" collapsed="false">
      <c r="A1001" s="2" t="n">
        <v>1000</v>
      </c>
      <c r="B1001" s="5" t="s">
        <v>2923</v>
      </c>
      <c r="C1001" s="2" t="s">
        <v>2924</v>
      </c>
      <c r="D1001" s="2" t="s">
        <v>2925</v>
      </c>
      <c r="E1001" s="2" t="s">
        <v>795</v>
      </c>
      <c r="F1001" s="2" t="s">
        <v>766</v>
      </c>
      <c r="G1001" s="2" t="s">
        <v>28</v>
      </c>
      <c r="H1001" s="2" t="s">
        <v>14</v>
      </c>
    </row>
    <row r="1002" customFormat="false" ht="22.35" hidden="false" customHeight="false" outlineLevel="0" collapsed="false">
      <c r="A1002" s="2" t="n">
        <v>1001</v>
      </c>
      <c r="B1002" s="5" t="s">
        <v>2926</v>
      </c>
      <c r="C1002" s="2" t="s">
        <v>2927</v>
      </c>
      <c r="D1002" s="2" t="s">
        <v>2609</v>
      </c>
      <c r="E1002" s="2" t="s">
        <v>2928</v>
      </c>
      <c r="F1002" s="2" t="s">
        <v>2929</v>
      </c>
      <c r="G1002" s="2" t="s">
        <v>28</v>
      </c>
      <c r="H1002" s="2" t="s">
        <v>14</v>
      </c>
    </row>
    <row r="1003" customFormat="false" ht="22.35" hidden="false" customHeight="false" outlineLevel="0" collapsed="false">
      <c r="A1003" s="2" t="n">
        <v>1002</v>
      </c>
      <c r="B1003" s="5" t="s">
        <v>2930</v>
      </c>
      <c r="C1003" s="2" t="s">
        <v>2931</v>
      </c>
      <c r="D1003" s="2" t="s">
        <v>2609</v>
      </c>
      <c r="E1003" s="2" t="s">
        <v>872</v>
      </c>
      <c r="F1003" s="2" t="s">
        <v>2932</v>
      </c>
      <c r="G1003" s="2" t="s">
        <v>28</v>
      </c>
      <c r="H1003" s="2" t="s">
        <v>14</v>
      </c>
    </row>
    <row r="1004" customFormat="false" ht="22.35" hidden="false" customHeight="false" outlineLevel="0" collapsed="false">
      <c r="A1004" s="2" t="n">
        <v>1003</v>
      </c>
      <c r="B1004" s="5" t="s">
        <v>2933</v>
      </c>
      <c r="C1004" s="2" t="s">
        <v>2934</v>
      </c>
      <c r="D1004" s="2" t="s">
        <v>2609</v>
      </c>
      <c r="E1004" s="2" t="s">
        <v>2935</v>
      </c>
      <c r="F1004" s="2" t="s">
        <v>2936</v>
      </c>
      <c r="G1004" s="2" t="s">
        <v>13</v>
      </c>
      <c r="H1004" s="2" t="s">
        <v>14</v>
      </c>
    </row>
    <row r="1005" customFormat="false" ht="22.35" hidden="false" customHeight="false" outlineLevel="0" collapsed="false">
      <c r="A1005" s="2" t="n">
        <v>1004</v>
      </c>
      <c r="B1005" s="5" t="s">
        <v>2937</v>
      </c>
      <c r="C1005" s="2" t="s">
        <v>2938</v>
      </c>
      <c r="D1005" s="2" t="s">
        <v>2609</v>
      </c>
      <c r="E1005" s="2" t="s">
        <v>844</v>
      </c>
      <c r="F1005" s="2" t="s">
        <v>2939</v>
      </c>
      <c r="G1005" s="2" t="s">
        <v>13</v>
      </c>
      <c r="H1005" s="2" t="s">
        <v>14</v>
      </c>
    </row>
    <row r="1006" customFormat="false" ht="22.35" hidden="false" customHeight="false" outlineLevel="0" collapsed="false">
      <c r="A1006" s="2" t="n">
        <v>1005</v>
      </c>
      <c r="B1006" s="5" t="s">
        <v>2940</v>
      </c>
      <c r="C1006" s="2" t="s">
        <v>2941</v>
      </c>
      <c r="D1006" s="2" t="s">
        <v>2609</v>
      </c>
      <c r="E1006" s="2" t="s">
        <v>2942</v>
      </c>
      <c r="F1006" s="2" t="s">
        <v>2943</v>
      </c>
      <c r="G1006" s="2" t="s">
        <v>28</v>
      </c>
      <c r="H1006" s="2" t="s">
        <v>14</v>
      </c>
    </row>
    <row r="1007" customFormat="false" ht="22.35" hidden="false" customHeight="false" outlineLevel="0" collapsed="false">
      <c r="A1007" s="2" t="n">
        <v>1006</v>
      </c>
      <c r="B1007" s="5" t="s">
        <v>2944</v>
      </c>
      <c r="C1007" s="2" t="s">
        <v>2945</v>
      </c>
      <c r="D1007" s="2" t="s">
        <v>2609</v>
      </c>
      <c r="E1007" s="2" t="s">
        <v>2946</v>
      </c>
      <c r="F1007" s="2" t="s">
        <v>2947</v>
      </c>
      <c r="G1007" s="2" t="s">
        <v>13</v>
      </c>
      <c r="H1007" s="2" t="s">
        <v>14</v>
      </c>
    </row>
    <row r="1008" customFormat="false" ht="22.35" hidden="false" customHeight="false" outlineLevel="0" collapsed="false">
      <c r="A1008" s="2" t="n">
        <v>1007</v>
      </c>
      <c r="B1008" s="5" t="s">
        <v>2948</v>
      </c>
      <c r="C1008" s="2" t="s">
        <v>2949</v>
      </c>
      <c r="D1008" s="2" t="s">
        <v>2609</v>
      </c>
      <c r="E1008" s="2" t="s">
        <v>1770</v>
      </c>
      <c r="F1008" s="2" t="s">
        <v>413</v>
      </c>
      <c r="G1008" s="2" t="s">
        <v>13</v>
      </c>
      <c r="H1008" s="2" t="s">
        <v>14</v>
      </c>
    </row>
    <row r="1009" customFormat="false" ht="22.35" hidden="false" customHeight="false" outlineLevel="0" collapsed="false">
      <c r="A1009" s="2" t="n">
        <v>1008</v>
      </c>
      <c r="B1009" s="5" t="s">
        <v>2950</v>
      </c>
      <c r="C1009" s="2" t="s">
        <v>2951</v>
      </c>
      <c r="D1009" s="2" t="s">
        <v>2609</v>
      </c>
      <c r="E1009" s="2" t="s">
        <v>844</v>
      </c>
      <c r="F1009" s="2" t="s">
        <v>1714</v>
      </c>
      <c r="G1009" s="2" t="s">
        <v>13</v>
      </c>
      <c r="H1009" s="2" t="s">
        <v>14</v>
      </c>
    </row>
    <row r="1010" customFormat="false" ht="22.35" hidden="false" customHeight="false" outlineLevel="0" collapsed="false">
      <c r="A1010" s="2" t="n">
        <v>1009</v>
      </c>
      <c r="B1010" s="5" t="s">
        <v>2952</v>
      </c>
      <c r="C1010" s="2" t="s">
        <v>2953</v>
      </c>
      <c r="D1010" s="2" t="s">
        <v>2468</v>
      </c>
      <c r="E1010" s="2" t="s">
        <v>2954</v>
      </c>
      <c r="F1010" s="2" t="s">
        <v>1286</v>
      </c>
      <c r="G1010" s="2" t="s">
        <v>28</v>
      </c>
      <c r="H1010" s="2" t="s">
        <v>14</v>
      </c>
    </row>
    <row r="1011" customFormat="false" ht="22.35" hidden="false" customHeight="false" outlineLevel="0" collapsed="false">
      <c r="A1011" s="2" t="n">
        <v>1010</v>
      </c>
      <c r="B1011" s="3" t="s">
        <v>2955</v>
      </c>
      <c r="C1011" s="2" t="s">
        <v>2956</v>
      </c>
      <c r="D1011" s="2" t="s">
        <v>2468</v>
      </c>
      <c r="E1011" s="2" t="s">
        <v>844</v>
      </c>
      <c r="F1011" s="4" t="s">
        <v>2957</v>
      </c>
      <c r="G1011" s="2" t="s">
        <v>13</v>
      </c>
      <c r="H1011" s="2" t="s">
        <v>14</v>
      </c>
    </row>
    <row r="1012" customFormat="false" ht="15" hidden="false" customHeight="false" outlineLevel="0" collapsed="false">
      <c r="A1012" s="2" t="n">
        <v>1011</v>
      </c>
      <c r="B1012" s="5" t="s">
        <v>2958</v>
      </c>
      <c r="C1012" s="2" t="s">
        <v>2959</v>
      </c>
      <c r="D1012" s="2" t="s">
        <v>2468</v>
      </c>
      <c r="E1012" s="2" t="s">
        <v>1249</v>
      </c>
      <c r="F1012" s="2" t="s">
        <v>2472</v>
      </c>
      <c r="G1012" s="2" t="s">
        <v>28</v>
      </c>
      <c r="H1012" s="2" t="s">
        <v>14</v>
      </c>
    </row>
    <row r="1013" customFormat="false" ht="15" hidden="false" customHeight="false" outlineLevel="0" collapsed="false">
      <c r="A1013" s="2" t="n">
        <v>1012</v>
      </c>
      <c r="B1013" s="5" t="s">
        <v>2960</v>
      </c>
      <c r="C1013" s="2" t="s">
        <v>2961</v>
      </c>
      <c r="D1013" s="2" t="s">
        <v>2468</v>
      </c>
      <c r="E1013" s="2" t="s">
        <v>844</v>
      </c>
      <c r="F1013" s="2" t="s">
        <v>2472</v>
      </c>
      <c r="G1013" s="2" t="s">
        <v>13</v>
      </c>
      <c r="H1013" s="2" t="s">
        <v>14</v>
      </c>
    </row>
    <row r="1014" customFormat="false" ht="15" hidden="false" customHeight="false" outlineLevel="0" collapsed="false">
      <c r="A1014" s="2" t="n">
        <v>1013</v>
      </c>
      <c r="B1014" s="5" t="s">
        <v>2962</v>
      </c>
      <c r="C1014" s="2" t="s">
        <v>2963</v>
      </c>
      <c r="D1014" s="2" t="s">
        <v>2468</v>
      </c>
      <c r="E1014" s="2" t="s">
        <v>2964</v>
      </c>
      <c r="F1014" s="2" t="s">
        <v>2965</v>
      </c>
      <c r="G1014" s="2" t="s">
        <v>13</v>
      </c>
      <c r="H1014" s="2" t="s">
        <v>14</v>
      </c>
    </row>
    <row r="1015" customFormat="false" ht="15" hidden="false" customHeight="false" outlineLevel="0" collapsed="false">
      <c r="A1015" s="2" t="n">
        <v>1014</v>
      </c>
      <c r="B1015" s="5" t="s">
        <v>2966</v>
      </c>
      <c r="C1015" s="2" t="s">
        <v>2967</v>
      </c>
      <c r="D1015" s="2" t="s">
        <v>2468</v>
      </c>
      <c r="E1015" s="2" t="s">
        <v>2334</v>
      </c>
      <c r="F1015" s="2" t="s">
        <v>2968</v>
      </c>
      <c r="G1015" s="2" t="s">
        <v>28</v>
      </c>
      <c r="H1015" s="2" t="s">
        <v>14</v>
      </c>
    </row>
    <row r="1016" customFormat="false" ht="15" hidden="false" customHeight="false" outlineLevel="0" collapsed="false">
      <c r="A1016" s="2" t="n">
        <v>1015</v>
      </c>
      <c r="B1016" s="5" t="s">
        <v>2969</v>
      </c>
      <c r="C1016" s="2" t="s">
        <v>2970</v>
      </c>
      <c r="D1016" s="2" t="s">
        <v>2468</v>
      </c>
      <c r="E1016" s="2" t="s">
        <v>2971</v>
      </c>
      <c r="F1016" s="2" t="s">
        <v>2472</v>
      </c>
      <c r="G1016" s="2" t="s">
        <v>28</v>
      </c>
      <c r="H1016" s="2" t="s">
        <v>14</v>
      </c>
    </row>
    <row r="1017" customFormat="false" ht="22.35" hidden="false" customHeight="false" outlineLevel="0" collapsed="false">
      <c r="A1017" s="2" t="n">
        <v>1016</v>
      </c>
      <c r="B1017" s="5" t="s">
        <v>2972</v>
      </c>
      <c r="C1017" s="2" t="s">
        <v>2973</v>
      </c>
      <c r="D1017" s="2" t="s">
        <v>2468</v>
      </c>
      <c r="E1017" s="2" t="s">
        <v>844</v>
      </c>
      <c r="F1017" s="2" t="s">
        <v>984</v>
      </c>
      <c r="G1017" s="2" t="s">
        <v>28</v>
      </c>
      <c r="H1017" s="2" t="s">
        <v>14</v>
      </c>
    </row>
    <row r="1018" customFormat="false" ht="15" hidden="false" customHeight="false" outlineLevel="0" collapsed="false">
      <c r="A1018" s="2" t="n">
        <v>1017</v>
      </c>
      <c r="B1018" s="5" t="s">
        <v>2974</v>
      </c>
      <c r="C1018" s="2" t="s">
        <v>2975</v>
      </c>
      <c r="D1018" s="2" t="s">
        <v>2468</v>
      </c>
      <c r="E1018" s="2" t="s">
        <v>844</v>
      </c>
      <c r="F1018" s="2" t="s">
        <v>2976</v>
      </c>
      <c r="G1018" s="2" t="s">
        <v>13</v>
      </c>
      <c r="H1018" s="2" t="s">
        <v>14</v>
      </c>
    </row>
    <row r="1019" customFormat="false" ht="22.35" hidden="false" customHeight="false" outlineLevel="0" collapsed="false">
      <c r="A1019" s="2" t="n">
        <v>1018</v>
      </c>
      <c r="B1019" s="5" t="s">
        <v>2977</v>
      </c>
      <c r="C1019" s="2" t="s">
        <v>2978</v>
      </c>
      <c r="D1019" s="2" t="s">
        <v>2979</v>
      </c>
      <c r="E1019" s="2" t="s">
        <v>844</v>
      </c>
      <c r="F1019" s="2" t="s">
        <v>2980</v>
      </c>
      <c r="G1019" s="2" t="s">
        <v>13</v>
      </c>
      <c r="H1019" s="2" t="s">
        <v>14</v>
      </c>
    </row>
    <row r="1020" customFormat="false" ht="15" hidden="false" customHeight="false" outlineLevel="0" collapsed="false">
      <c r="A1020" s="2" t="n">
        <v>1019</v>
      </c>
      <c r="B1020" s="5" t="s">
        <v>2981</v>
      </c>
      <c r="C1020" s="2" t="s">
        <v>2982</v>
      </c>
      <c r="D1020" s="2" t="s">
        <v>2468</v>
      </c>
      <c r="E1020" s="2" t="s">
        <v>1056</v>
      </c>
      <c r="F1020" s="2" t="s">
        <v>2376</v>
      </c>
      <c r="G1020" s="2" t="s">
        <v>13</v>
      </c>
      <c r="H1020" s="2" t="s">
        <v>14</v>
      </c>
    </row>
    <row r="1021" customFormat="false" ht="22.35" hidden="false" customHeight="false" outlineLevel="0" collapsed="false">
      <c r="A1021" s="2" t="n">
        <v>1020</v>
      </c>
      <c r="B1021" s="3" t="s">
        <v>2983</v>
      </c>
      <c r="C1021" s="2" t="s">
        <v>2984</v>
      </c>
      <c r="D1021" s="2" t="s">
        <v>2279</v>
      </c>
      <c r="E1021" s="2" t="s">
        <v>2985</v>
      </c>
      <c r="F1021" s="4" t="s">
        <v>2986</v>
      </c>
      <c r="G1021" s="2" t="s">
        <v>13</v>
      </c>
      <c r="H1021" s="2" t="s">
        <v>14</v>
      </c>
    </row>
    <row r="1022" customFormat="false" ht="22.35" hidden="false" customHeight="false" outlineLevel="0" collapsed="false">
      <c r="A1022" s="2" t="n">
        <v>1021</v>
      </c>
      <c r="B1022" s="5" t="s">
        <v>2987</v>
      </c>
      <c r="C1022" s="2" t="s">
        <v>2988</v>
      </c>
      <c r="D1022" s="2" t="s">
        <v>2279</v>
      </c>
      <c r="E1022" s="2" t="s">
        <v>2989</v>
      </c>
      <c r="F1022" s="2" t="s">
        <v>2472</v>
      </c>
      <c r="G1022" s="2" t="s">
        <v>28</v>
      </c>
      <c r="H1022" s="2" t="s">
        <v>14</v>
      </c>
    </row>
    <row r="1023" customFormat="false" ht="15" hidden="false" customHeight="false" outlineLevel="0" collapsed="false">
      <c r="A1023" s="2" t="n">
        <v>1022</v>
      </c>
      <c r="B1023" s="5" t="s">
        <v>2990</v>
      </c>
      <c r="C1023" s="2" t="s">
        <v>2991</v>
      </c>
      <c r="D1023" s="2" t="s">
        <v>2279</v>
      </c>
      <c r="E1023" s="2" t="s">
        <v>2992</v>
      </c>
      <c r="F1023" s="2" t="s">
        <v>2896</v>
      </c>
      <c r="G1023" s="2" t="s">
        <v>28</v>
      </c>
      <c r="H1023" s="2" t="s">
        <v>14</v>
      </c>
    </row>
    <row r="1024" customFormat="false" ht="15" hidden="false" customHeight="false" outlineLevel="0" collapsed="false">
      <c r="A1024" s="2" t="n">
        <v>1023</v>
      </c>
      <c r="B1024" s="5" t="s">
        <v>2993</v>
      </c>
      <c r="C1024" s="2" t="s">
        <v>2994</v>
      </c>
      <c r="D1024" s="2" t="s">
        <v>2279</v>
      </c>
      <c r="E1024" s="2" t="s">
        <v>2995</v>
      </c>
      <c r="F1024" s="2" t="s">
        <v>2529</v>
      </c>
      <c r="G1024" s="2" t="s">
        <v>28</v>
      </c>
      <c r="H1024" s="2" t="s">
        <v>14</v>
      </c>
    </row>
    <row r="1025" customFormat="false" ht="22.35" hidden="false" customHeight="false" outlineLevel="0" collapsed="false">
      <c r="A1025" s="2" t="n">
        <v>1024</v>
      </c>
      <c r="B1025" s="5" t="s">
        <v>2996</v>
      </c>
      <c r="C1025" s="2" t="s">
        <v>2997</v>
      </c>
      <c r="D1025" s="2" t="s">
        <v>2279</v>
      </c>
      <c r="E1025" s="2" t="s">
        <v>2998</v>
      </c>
      <c r="F1025" s="2" t="s">
        <v>2999</v>
      </c>
      <c r="G1025" s="2" t="s">
        <v>28</v>
      </c>
      <c r="H1025" s="2" t="s">
        <v>14</v>
      </c>
    </row>
    <row r="1026" customFormat="false" ht="22.35" hidden="false" customHeight="false" outlineLevel="0" collapsed="false">
      <c r="A1026" s="2" t="n">
        <v>1025</v>
      </c>
      <c r="B1026" s="5" t="s">
        <v>3000</v>
      </c>
      <c r="C1026" s="2" t="s">
        <v>3001</v>
      </c>
      <c r="D1026" s="2" t="s">
        <v>2279</v>
      </c>
      <c r="E1026" s="2" t="s">
        <v>3002</v>
      </c>
      <c r="F1026" s="2" t="s">
        <v>3003</v>
      </c>
      <c r="G1026" s="2" t="s">
        <v>28</v>
      </c>
      <c r="H1026" s="2" t="s">
        <v>14</v>
      </c>
    </row>
    <row r="1027" customFormat="false" ht="22.35" hidden="false" customHeight="false" outlineLevel="0" collapsed="false">
      <c r="A1027" s="2" t="n">
        <v>1026</v>
      </c>
      <c r="B1027" s="5" t="s">
        <v>3004</v>
      </c>
      <c r="C1027" s="2" t="s">
        <v>3005</v>
      </c>
      <c r="D1027" s="2" t="s">
        <v>2279</v>
      </c>
      <c r="E1027" s="2" t="s">
        <v>3006</v>
      </c>
      <c r="F1027" s="2" t="s">
        <v>3007</v>
      </c>
      <c r="G1027" s="2" t="s">
        <v>28</v>
      </c>
      <c r="H1027" s="2" t="s">
        <v>14</v>
      </c>
    </row>
    <row r="1028" customFormat="false" ht="22.35" hidden="false" customHeight="false" outlineLevel="0" collapsed="false">
      <c r="A1028" s="2" t="n">
        <v>1027</v>
      </c>
      <c r="B1028" s="5" t="s">
        <v>3008</v>
      </c>
      <c r="C1028" s="2" t="s">
        <v>3009</v>
      </c>
      <c r="D1028" s="2" t="s">
        <v>2279</v>
      </c>
      <c r="E1028" s="2" t="s">
        <v>3010</v>
      </c>
      <c r="F1028" s="2" t="s">
        <v>21</v>
      </c>
      <c r="G1028" s="2" t="s">
        <v>28</v>
      </c>
      <c r="H1028" s="2" t="s">
        <v>14</v>
      </c>
    </row>
    <row r="1029" customFormat="false" ht="22.35" hidden="false" customHeight="false" outlineLevel="0" collapsed="false">
      <c r="A1029" s="2" t="n">
        <v>1028</v>
      </c>
      <c r="B1029" s="5" t="s">
        <v>3011</v>
      </c>
      <c r="C1029" s="2" t="s">
        <v>3012</v>
      </c>
      <c r="D1029" s="2" t="s">
        <v>2279</v>
      </c>
      <c r="E1029" s="2" t="s">
        <v>3013</v>
      </c>
      <c r="F1029" s="2" t="s">
        <v>3014</v>
      </c>
      <c r="G1029" s="2" t="s">
        <v>28</v>
      </c>
      <c r="H1029" s="2" t="s">
        <v>14</v>
      </c>
    </row>
    <row r="1030" customFormat="false" ht="22.35" hidden="false" customHeight="false" outlineLevel="0" collapsed="false">
      <c r="A1030" s="2" t="n">
        <v>1029</v>
      </c>
      <c r="B1030" s="5" t="s">
        <v>3015</v>
      </c>
      <c r="C1030" s="2" t="s">
        <v>3016</v>
      </c>
      <c r="D1030" s="2" t="s">
        <v>2279</v>
      </c>
      <c r="E1030" s="2" t="s">
        <v>3017</v>
      </c>
      <c r="F1030" s="2" t="s">
        <v>3018</v>
      </c>
      <c r="G1030" s="2" t="s">
        <v>28</v>
      </c>
      <c r="H1030" s="2" t="s">
        <v>14</v>
      </c>
    </row>
    <row r="1031" customFormat="false" ht="22.35" hidden="false" customHeight="false" outlineLevel="0" collapsed="false">
      <c r="A1031" s="2" t="n">
        <v>1030</v>
      </c>
      <c r="B1031" s="5" t="s">
        <v>3019</v>
      </c>
      <c r="C1031" s="2" t="s">
        <v>3020</v>
      </c>
      <c r="D1031" s="2" t="s">
        <v>2279</v>
      </c>
      <c r="E1031" s="2" t="s">
        <v>3021</v>
      </c>
      <c r="F1031" s="2" t="s">
        <v>2458</v>
      </c>
      <c r="G1031" s="2" t="s">
        <v>28</v>
      </c>
      <c r="H1031" s="2" t="s">
        <v>14</v>
      </c>
    </row>
    <row r="1032" customFormat="false" ht="22.35" hidden="false" customHeight="false" outlineLevel="0" collapsed="false">
      <c r="A1032" s="2" t="n">
        <v>1031</v>
      </c>
      <c r="B1032" s="5" t="s">
        <v>3022</v>
      </c>
      <c r="C1032" s="2" t="s">
        <v>3023</v>
      </c>
      <c r="D1032" s="2" t="s">
        <v>2468</v>
      </c>
      <c r="E1032" s="2" t="s">
        <v>3024</v>
      </c>
      <c r="F1032" s="2" t="s">
        <v>1433</v>
      </c>
      <c r="G1032" s="2" t="s">
        <v>13</v>
      </c>
      <c r="H1032" s="2" t="s">
        <v>14</v>
      </c>
    </row>
    <row r="1033" customFormat="false" ht="22.35" hidden="false" customHeight="false" outlineLevel="0" collapsed="false">
      <c r="A1033" s="2" t="n">
        <v>1032</v>
      </c>
      <c r="B1033" s="5" t="s">
        <v>3025</v>
      </c>
      <c r="C1033" s="2" t="s">
        <v>3026</v>
      </c>
      <c r="D1033" s="2" t="s">
        <v>3027</v>
      </c>
      <c r="E1033" s="2" t="s">
        <v>45</v>
      </c>
      <c r="F1033" s="2" t="s">
        <v>693</v>
      </c>
      <c r="G1033" s="2" t="s">
        <v>13</v>
      </c>
      <c r="H1033" s="2" t="s">
        <v>14</v>
      </c>
    </row>
    <row r="1034" customFormat="false" ht="22.35" hidden="false" customHeight="false" outlineLevel="0" collapsed="false">
      <c r="A1034" s="2" t="n">
        <v>1033</v>
      </c>
      <c r="B1034" s="5" t="s">
        <v>3028</v>
      </c>
      <c r="C1034" s="2" t="s">
        <v>3029</v>
      </c>
      <c r="D1034" s="2" t="s">
        <v>3030</v>
      </c>
      <c r="E1034" s="2" t="s">
        <v>3031</v>
      </c>
      <c r="F1034" s="2" t="s">
        <v>3032</v>
      </c>
      <c r="G1034" s="2" t="s">
        <v>13</v>
      </c>
      <c r="H1034" s="2" t="s">
        <v>14</v>
      </c>
    </row>
    <row r="1035" customFormat="false" ht="15" hidden="false" customHeight="false" outlineLevel="0" collapsed="false">
      <c r="A1035" s="2" t="n">
        <v>1034</v>
      </c>
      <c r="B1035" s="5" t="s">
        <v>3033</v>
      </c>
      <c r="C1035" s="2" t="s">
        <v>3034</v>
      </c>
      <c r="D1035" s="2" t="s">
        <v>2275</v>
      </c>
      <c r="E1035" s="2" t="s">
        <v>2665</v>
      </c>
      <c r="F1035" s="2" t="s">
        <v>3035</v>
      </c>
      <c r="G1035" s="2" t="s">
        <v>13</v>
      </c>
      <c r="H1035" s="2" t="s">
        <v>14</v>
      </c>
    </row>
    <row r="1036" customFormat="false" ht="32.8" hidden="false" customHeight="false" outlineLevel="0" collapsed="false">
      <c r="A1036" s="2" t="n">
        <v>1035</v>
      </c>
      <c r="B1036" s="3" t="s">
        <v>3036</v>
      </c>
      <c r="C1036" s="2" t="s">
        <v>3037</v>
      </c>
      <c r="D1036" s="2" t="s">
        <v>2468</v>
      </c>
      <c r="E1036" s="2" t="s">
        <v>3038</v>
      </c>
      <c r="F1036" s="4" t="s">
        <v>3039</v>
      </c>
      <c r="G1036" s="2" t="s">
        <v>13</v>
      </c>
      <c r="H1036" s="2" t="s">
        <v>14</v>
      </c>
    </row>
    <row r="1037" customFormat="false" ht="22.35" hidden="false" customHeight="false" outlineLevel="0" collapsed="false">
      <c r="A1037" s="2" t="n">
        <v>1036</v>
      </c>
      <c r="B1037" s="5" t="s">
        <v>3040</v>
      </c>
      <c r="C1037" s="2" t="s">
        <v>3041</v>
      </c>
      <c r="D1037" s="2" t="s">
        <v>10</v>
      </c>
      <c r="E1037" s="2" t="s">
        <v>1310</v>
      </c>
      <c r="F1037" s="2" t="s">
        <v>343</v>
      </c>
      <c r="G1037" s="2" t="s">
        <v>13</v>
      </c>
      <c r="H1037" s="2" t="s">
        <v>14</v>
      </c>
    </row>
    <row r="1038" customFormat="false" ht="22.35" hidden="false" customHeight="false" outlineLevel="0" collapsed="false">
      <c r="A1038" s="2" t="n">
        <v>1037</v>
      </c>
      <c r="B1038" s="5" t="s">
        <v>3042</v>
      </c>
      <c r="C1038" s="2" t="s">
        <v>3043</v>
      </c>
      <c r="D1038" s="2" t="s">
        <v>10</v>
      </c>
      <c r="E1038" s="2" t="s">
        <v>1310</v>
      </c>
      <c r="F1038" s="2" t="s">
        <v>3044</v>
      </c>
      <c r="G1038" s="2" t="s">
        <v>13</v>
      </c>
      <c r="H1038" s="2" t="s">
        <v>14</v>
      </c>
    </row>
    <row r="1039" customFormat="false" ht="15" hidden="false" customHeight="false" outlineLevel="0" collapsed="false">
      <c r="A1039" s="2" t="n">
        <v>1038</v>
      </c>
      <c r="B1039" s="5" t="s">
        <v>3045</v>
      </c>
      <c r="C1039" s="2" t="s">
        <v>3046</v>
      </c>
      <c r="D1039" s="2" t="s">
        <v>10</v>
      </c>
      <c r="E1039" s="2" t="s">
        <v>45</v>
      </c>
      <c r="F1039" s="2" t="s">
        <v>1714</v>
      </c>
      <c r="G1039" s="2" t="s">
        <v>13</v>
      </c>
      <c r="H1039" s="2" t="s">
        <v>14</v>
      </c>
    </row>
    <row r="1040" customFormat="false" ht="15" hidden="false" customHeight="false" outlineLevel="0" collapsed="false">
      <c r="A1040" s="2" t="n">
        <v>1039</v>
      </c>
      <c r="B1040" s="5" t="s">
        <v>3047</v>
      </c>
      <c r="C1040" s="2" t="s">
        <v>3048</v>
      </c>
      <c r="D1040" s="2" t="s">
        <v>10</v>
      </c>
      <c r="E1040" s="2" t="s">
        <v>3049</v>
      </c>
      <c r="F1040" s="2" t="s">
        <v>2472</v>
      </c>
      <c r="G1040" s="2" t="s">
        <v>28</v>
      </c>
      <c r="H1040" s="2" t="s">
        <v>14</v>
      </c>
    </row>
    <row r="1041" customFormat="false" ht="15" hidden="false" customHeight="false" outlineLevel="0" collapsed="false">
      <c r="A1041" s="2" t="n">
        <v>1040</v>
      </c>
      <c r="B1041" s="5" t="s">
        <v>3050</v>
      </c>
      <c r="C1041" s="2" t="s">
        <v>3051</v>
      </c>
      <c r="D1041" s="2" t="s">
        <v>10</v>
      </c>
      <c r="E1041" s="2" t="s">
        <v>3052</v>
      </c>
      <c r="F1041" s="2" t="s">
        <v>3053</v>
      </c>
      <c r="G1041" s="2" t="s">
        <v>28</v>
      </c>
      <c r="H1041" s="2" t="s">
        <v>14</v>
      </c>
    </row>
    <row r="1042" customFormat="false" ht="15" hidden="false" customHeight="false" outlineLevel="0" collapsed="false">
      <c r="A1042" s="2" t="n">
        <v>1041</v>
      </c>
      <c r="B1042" s="5" t="s">
        <v>3054</v>
      </c>
      <c r="C1042" s="2" t="s">
        <v>3055</v>
      </c>
      <c r="D1042" s="2" t="s">
        <v>2468</v>
      </c>
      <c r="E1042" s="2" t="s">
        <v>923</v>
      </c>
      <c r="F1042" s="2" t="s">
        <v>1005</v>
      </c>
      <c r="G1042" s="2" t="s">
        <v>13</v>
      </c>
      <c r="H1042" s="2" t="s">
        <v>14</v>
      </c>
    </row>
    <row r="1043" customFormat="false" ht="22.35" hidden="false" customHeight="false" outlineLevel="0" collapsed="false">
      <c r="A1043" s="2" t="n">
        <v>1042</v>
      </c>
      <c r="B1043" s="5" t="s">
        <v>3056</v>
      </c>
      <c r="C1043" s="2" t="s">
        <v>3057</v>
      </c>
      <c r="D1043" s="2" t="s">
        <v>2468</v>
      </c>
      <c r="E1043" s="2" t="s">
        <v>923</v>
      </c>
      <c r="F1043" s="2" t="s">
        <v>2173</v>
      </c>
      <c r="G1043" s="2" t="s">
        <v>13</v>
      </c>
      <c r="H1043" s="2" t="s">
        <v>14</v>
      </c>
    </row>
    <row r="1044" customFormat="false" ht="15" hidden="false" customHeight="false" outlineLevel="0" collapsed="false">
      <c r="A1044" s="2" t="n">
        <v>1043</v>
      </c>
      <c r="B1044" s="5" t="s">
        <v>3058</v>
      </c>
      <c r="C1044" s="2" t="s">
        <v>3059</v>
      </c>
      <c r="D1044" s="2" t="s">
        <v>2279</v>
      </c>
      <c r="E1044" s="2" t="s">
        <v>3060</v>
      </c>
      <c r="F1044" s="2" t="s">
        <v>3061</v>
      </c>
      <c r="G1044" s="2" t="s">
        <v>28</v>
      </c>
      <c r="H1044" s="2" t="s">
        <v>14</v>
      </c>
    </row>
    <row r="1045" customFormat="false" ht="22.35" hidden="false" customHeight="false" outlineLevel="0" collapsed="false">
      <c r="A1045" s="2" t="n">
        <v>1044</v>
      </c>
      <c r="B1045" s="5" t="s">
        <v>3062</v>
      </c>
      <c r="C1045" s="2" t="s">
        <v>3063</v>
      </c>
      <c r="D1045" s="2" t="s">
        <v>2279</v>
      </c>
      <c r="E1045" s="2" t="s">
        <v>1770</v>
      </c>
      <c r="F1045" s="2" t="s">
        <v>1429</v>
      </c>
      <c r="G1045" s="2" t="s">
        <v>13</v>
      </c>
      <c r="H1045" s="2" t="s">
        <v>14</v>
      </c>
    </row>
    <row r="1046" customFormat="false" ht="22.35" hidden="false" customHeight="false" outlineLevel="0" collapsed="false">
      <c r="A1046" s="2" t="n">
        <v>1045</v>
      </c>
      <c r="B1046" s="5" t="s">
        <v>3064</v>
      </c>
      <c r="C1046" s="2" t="s">
        <v>3065</v>
      </c>
      <c r="D1046" s="2" t="s">
        <v>2279</v>
      </c>
      <c r="E1046" s="2" t="s">
        <v>1249</v>
      </c>
      <c r="F1046" s="2" t="s">
        <v>3066</v>
      </c>
      <c r="G1046" s="2" t="s">
        <v>28</v>
      </c>
      <c r="H1046" s="2" t="s">
        <v>14</v>
      </c>
    </row>
    <row r="1047" customFormat="false" ht="15" hidden="false" customHeight="false" outlineLevel="0" collapsed="false">
      <c r="A1047" s="2" t="n">
        <v>1046</v>
      </c>
      <c r="B1047" s="5" t="s">
        <v>3067</v>
      </c>
      <c r="C1047" s="2" t="s">
        <v>3068</v>
      </c>
      <c r="D1047" s="2" t="s">
        <v>2279</v>
      </c>
      <c r="E1047" s="2" t="s">
        <v>2353</v>
      </c>
      <c r="F1047" s="2" t="s">
        <v>2376</v>
      </c>
      <c r="G1047" s="2" t="s">
        <v>13</v>
      </c>
      <c r="H1047" s="2" t="s">
        <v>14</v>
      </c>
    </row>
  </sheetData>
  <autoFilter ref="A1:H10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s>
  <sheetData>
    <row r="1" customFormat="false" ht="15" hidden="false" customHeight="false" outlineLevel="0" collapsed="false">
      <c r="A1" s="1" t="s">
        <v>3069</v>
      </c>
      <c r="B1" s="1" t="s">
        <v>3070</v>
      </c>
    </row>
    <row r="2" customFormat="false" ht="15" hidden="false" customHeight="false" outlineLevel="0" collapsed="false">
      <c r="A2" s="6" t="s">
        <v>3071</v>
      </c>
      <c r="B2" s="6" t="n">
        <f aca="false">COUNTIF(Promises!$C$2:$C$1047,"Genesis *")</f>
        <v>76</v>
      </c>
    </row>
    <row r="3" customFormat="false" ht="15" hidden="false" customHeight="false" outlineLevel="0" collapsed="false">
      <c r="A3" s="6" t="s">
        <v>3072</v>
      </c>
      <c r="B3" s="6" t="n">
        <f aca="false">COUNTIF(Promises!$C$2:$C$1047,"Exodus *")</f>
        <v>41</v>
      </c>
    </row>
    <row r="4" customFormat="false" ht="15" hidden="false" customHeight="false" outlineLevel="0" collapsed="false">
      <c r="A4" s="6" t="s">
        <v>3073</v>
      </c>
      <c r="B4" s="6" t="n">
        <f aca="false">COUNTIF(Promises!$C$2:$C$1047,"Leviticus *")</f>
        <v>13</v>
      </c>
    </row>
    <row r="5" customFormat="false" ht="15" hidden="false" customHeight="false" outlineLevel="0" collapsed="false">
      <c r="A5" s="6" t="s">
        <v>3074</v>
      </c>
      <c r="B5" s="6" t="n">
        <f aca="false">COUNTIF(Promises!$C$2:$C$1047,"Numbers *")</f>
        <v>16</v>
      </c>
    </row>
    <row r="6" customFormat="false" ht="15" hidden="false" customHeight="false" outlineLevel="0" collapsed="false">
      <c r="A6" s="6" t="s">
        <v>3075</v>
      </c>
      <c r="B6" s="6" t="n">
        <f aca="false">COUNTIF(Promises!$C$2:$C$1047,"Deuteronomy *")</f>
        <v>64</v>
      </c>
    </row>
    <row r="7" customFormat="false" ht="15" hidden="false" customHeight="false" outlineLevel="0" collapsed="false">
      <c r="A7" s="6" t="s">
        <v>530</v>
      </c>
      <c r="B7" s="6" t="n">
        <f aca="false">COUNTIF(Promises!$C$2:$C$1047,"Joshua *")</f>
        <v>13</v>
      </c>
    </row>
    <row r="8" customFormat="false" ht="15" hidden="false" customHeight="false" outlineLevel="0" collapsed="false">
      <c r="A8" s="6" t="s">
        <v>3076</v>
      </c>
      <c r="B8" s="6" t="n">
        <f aca="false">COUNTIF(Promises!$C$2:$C$1047,"Judges *")</f>
        <v>8</v>
      </c>
    </row>
    <row r="9" customFormat="false" ht="15" hidden="false" customHeight="false" outlineLevel="0" collapsed="false">
      <c r="A9" s="6" t="s">
        <v>610</v>
      </c>
      <c r="B9" s="6" t="n">
        <f aca="false">COUNTIF(Promises!$C$2:$C$1047,"Ruth *")</f>
        <v>1</v>
      </c>
    </row>
    <row r="10" customFormat="false" ht="15" hidden="false" customHeight="false" outlineLevel="0" collapsed="false">
      <c r="A10" s="6" t="s">
        <v>3077</v>
      </c>
      <c r="B10" s="6" t="n">
        <f aca="false">COUNTIF(Promises!$C$2:$C$1047,"1 Samuel *")</f>
        <v>10</v>
      </c>
    </row>
    <row r="11" customFormat="false" ht="15" hidden="false" customHeight="false" outlineLevel="0" collapsed="false">
      <c r="A11" s="6" t="s">
        <v>3078</v>
      </c>
      <c r="B11" s="6" t="n">
        <f aca="false">COUNTIF(Promises!$C$2:$C$1047,"2 Samuel *")</f>
        <v>11</v>
      </c>
    </row>
    <row r="12" customFormat="false" ht="15" hidden="false" customHeight="false" outlineLevel="0" collapsed="false">
      <c r="A12" s="6" t="s">
        <v>3079</v>
      </c>
      <c r="B12" s="6" t="n">
        <f aca="false">COUNTIF(Promises!$C$2:$C$1047,"1 Kings *")</f>
        <v>12</v>
      </c>
    </row>
    <row r="13" customFormat="false" ht="15" hidden="false" customHeight="false" outlineLevel="0" collapsed="false">
      <c r="A13" s="6" t="s">
        <v>3080</v>
      </c>
      <c r="B13" s="6" t="n">
        <f aca="false">COUNTIF(Promises!$C$2:$C$1047,"2 Kings *")</f>
        <v>6</v>
      </c>
    </row>
    <row r="14" customFormat="false" ht="15" hidden="false" customHeight="false" outlineLevel="0" collapsed="false">
      <c r="A14" s="6" t="s">
        <v>3081</v>
      </c>
      <c r="B14" s="6" t="n">
        <f aca="false">COUNTIF(Promises!$C$2:$C$1047,"1 Chronicles *")</f>
        <v>8</v>
      </c>
    </row>
    <row r="15" customFormat="false" ht="15" hidden="false" customHeight="false" outlineLevel="0" collapsed="false">
      <c r="A15" s="6" t="s">
        <v>3082</v>
      </c>
      <c r="B15" s="6" t="n">
        <f aca="false">COUNTIF(Promises!$C$2:$C$1047,"2 Chronicles *")</f>
        <v>7</v>
      </c>
    </row>
    <row r="16" customFormat="false" ht="15" hidden="false" customHeight="false" outlineLevel="0" collapsed="false">
      <c r="A16" s="6" t="s">
        <v>3083</v>
      </c>
      <c r="B16" s="6" t="n">
        <f aca="false">COUNTIF(Promises!$C$2:$C$1047,"Ezra *")</f>
        <v>1</v>
      </c>
    </row>
    <row r="17" customFormat="false" ht="15" hidden="false" customHeight="false" outlineLevel="0" collapsed="false">
      <c r="A17" s="6" t="s">
        <v>3084</v>
      </c>
      <c r="B17" s="6" t="n">
        <f aca="false">COUNTIF(Promises!$C$2:$C$1047,"Nehemiah *")</f>
        <v>1</v>
      </c>
    </row>
    <row r="18" customFormat="false" ht="15" hidden="false" customHeight="false" outlineLevel="0" collapsed="false">
      <c r="A18" s="6" t="s">
        <v>803</v>
      </c>
      <c r="B18" s="6" t="n">
        <f aca="false">COUNTIF(Promises!$C$2:$C$1047,"Job *")</f>
        <v>3</v>
      </c>
    </row>
    <row r="19" customFormat="false" ht="15" hidden="false" customHeight="false" outlineLevel="0" collapsed="false">
      <c r="A19" s="6" t="s">
        <v>3085</v>
      </c>
      <c r="B19" s="6" t="n">
        <f aca="false">COUNTIF(Promises!$C$2:$C$1047,"Psalm *")</f>
        <v>131</v>
      </c>
    </row>
    <row r="20" customFormat="false" ht="15" hidden="false" customHeight="false" outlineLevel="0" collapsed="false">
      <c r="A20" s="6" t="s">
        <v>3086</v>
      </c>
      <c r="B20" s="6" t="n">
        <f aca="false">COUNTIF(Promises!$C$2:$C$1047,"Proverbs *")</f>
        <v>16</v>
      </c>
    </row>
    <row r="21" customFormat="false" ht="15" hidden="false" customHeight="false" outlineLevel="0" collapsed="false">
      <c r="A21" s="6" t="s">
        <v>3087</v>
      </c>
      <c r="B21" s="6" t="n">
        <f aca="false">COUNTIF(Promises!$C$2:$C$1047,"Ecclesiastes *")</f>
        <v>2</v>
      </c>
    </row>
    <row r="22" customFormat="false" ht="15" hidden="false" customHeight="false" outlineLevel="0" collapsed="false">
      <c r="A22" s="6" t="s">
        <v>1285</v>
      </c>
      <c r="B22" s="6" t="n">
        <f aca="false">COUNTIF(Promises!$C$2:$C$1047,"Isaiah *")</f>
        <v>150</v>
      </c>
    </row>
    <row r="23" customFormat="false" ht="15" hidden="false" customHeight="false" outlineLevel="0" collapsed="false">
      <c r="A23" s="6" t="s">
        <v>1740</v>
      </c>
      <c r="B23" s="6" t="n">
        <f aca="false">COUNTIF(Promises!$C$2:$C$1047,"Jeremiah *")</f>
        <v>67</v>
      </c>
    </row>
    <row r="24" customFormat="false" ht="15" hidden="false" customHeight="false" outlineLevel="0" collapsed="false">
      <c r="A24" s="6" t="s">
        <v>3088</v>
      </c>
      <c r="B24" s="6" t="n">
        <f aca="false">COUNTIF(Promises!$C$2:$C$1047,"Lamentations *")</f>
        <v>3</v>
      </c>
    </row>
    <row r="25" customFormat="false" ht="15" hidden="false" customHeight="false" outlineLevel="0" collapsed="false">
      <c r="A25" s="6" t="s">
        <v>3089</v>
      </c>
      <c r="B25" s="6" t="n">
        <f aca="false">COUNTIF(Promises!$C$2:$C$1047,"Ezekiel *")</f>
        <v>45</v>
      </c>
    </row>
    <row r="26" customFormat="false" ht="15" hidden="false" customHeight="false" outlineLevel="0" collapsed="false">
      <c r="A26" s="6" t="s">
        <v>2085</v>
      </c>
      <c r="B26" s="6" t="n">
        <f aca="false">COUNTIF(Promises!$C$2:$C$1047,"Daniel *")</f>
        <v>8</v>
      </c>
    </row>
    <row r="27" customFormat="false" ht="15" hidden="false" customHeight="false" outlineLevel="0" collapsed="false">
      <c r="A27" s="6" t="s">
        <v>3090</v>
      </c>
      <c r="B27" s="6" t="n">
        <f aca="false">COUNTIF(Promises!$C$2:$C$1047,"Hosea *")</f>
        <v>7</v>
      </c>
    </row>
    <row r="28" customFormat="false" ht="15" hidden="false" customHeight="false" outlineLevel="0" collapsed="false">
      <c r="A28" s="6" t="s">
        <v>3091</v>
      </c>
      <c r="B28" s="6" t="n">
        <f aca="false">COUNTIF(Promises!$C$2:$C$1047,"Joel *")</f>
        <v>6</v>
      </c>
    </row>
    <row r="29" customFormat="false" ht="15" hidden="false" customHeight="false" outlineLevel="0" collapsed="false">
      <c r="A29" s="6" t="s">
        <v>3092</v>
      </c>
      <c r="B29" s="6" t="n">
        <f aca="false">COUNTIF(Promises!$C$2:$C$1047,"Amos *")</f>
        <v>3</v>
      </c>
    </row>
    <row r="30" customFormat="false" ht="15" hidden="false" customHeight="false" outlineLevel="0" collapsed="false">
      <c r="A30" s="6" t="s">
        <v>3093</v>
      </c>
      <c r="B30" s="6" t="n">
        <f aca="false">COUNTIF(Promises!$C$2:$C$1047,"Obadiah *")</f>
        <v>3</v>
      </c>
    </row>
    <row r="31" customFormat="false" ht="15" hidden="false" customHeight="false" outlineLevel="0" collapsed="false">
      <c r="A31" s="6" t="s">
        <v>3094</v>
      </c>
      <c r="B31" s="6" t="n">
        <f aca="false">COUNTIF(Promises!$C$2:$C$1047,"Jonah *")</f>
        <v>1</v>
      </c>
    </row>
    <row r="32" customFormat="false" ht="15" hidden="false" customHeight="false" outlineLevel="0" collapsed="false">
      <c r="A32" s="6" t="s">
        <v>3095</v>
      </c>
      <c r="B32" s="6" t="n">
        <f aca="false">COUNTIF(Promises!$C$2:$C$1047,"Micah *")</f>
        <v>5</v>
      </c>
    </row>
    <row r="33" customFormat="false" ht="15" hidden="false" customHeight="false" outlineLevel="0" collapsed="false">
      <c r="A33" s="6" t="s">
        <v>3096</v>
      </c>
      <c r="B33" s="6" t="n">
        <f aca="false">COUNTIF(Promises!$C$2:$C$1047,"Nahum *")</f>
        <v>1</v>
      </c>
    </row>
    <row r="34" customFormat="false" ht="15" hidden="false" customHeight="false" outlineLevel="0" collapsed="false">
      <c r="A34" s="6" t="s">
        <v>2165</v>
      </c>
      <c r="B34" s="6" t="n">
        <f aca="false">COUNTIF(Promises!$C$2:$C$1047,"Habakkuk *")</f>
        <v>3</v>
      </c>
    </row>
    <row r="35" customFormat="false" ht="15" hidden="false" customHeight="false" outlineLevel="0" collapsed="false">
      <c r="A35" s="6" t="s">
        <v>3097</v>
      </c>
      <c r="B35" s="6" t="n">
        <f aca="false">COUNTIF(Promises!$C$2:$C$1047,"Zephaniah *")</f>
        <v>5</v>
      </c>
    </row>
    <row r="36" customFormat="false" ht="15" hidden="false" customHeight="false" outlineLevel="0" collapsed="false">
      <c r="A36" s="6" t="s">
        <v>3098</v>
      </c>
      <c r="B36" s="6" t="n">
        <f aca="false">COUNTIF(Promises!$C$2:$C$1047,"Haggai *")</f>
        <v>6</v>
      </c>
    </row>
    <row r="37" customFormat="false" ht="15" hidden="false" customHeight="false" outlineLevel="0" collapsed="false">
      <c r="A37" s="6" t="s">
        <v>3099</v>
      </c>
      <c r="B37" s="6" t="n">
        <f aca="false">COUNTIF(Promises!$C$2:$C$1047,"Zechariah *")</f>
        <v>15</v>
      </c>
    </row>
    <row r="38" customFormat="false" ht="15" hidden="false" customHeight="false" outlineLevel="0" collapsed="false">
      <c r="A38" s="6" t="s">
        <v>3100</v>
      </c>
      <c r="B38" s="6" t="n">
        <f aca="false">COUNTIF(Promises!$C$2:$C$1047,"Malachi *")</f>
        <v>8</v>
      </c>
    </row>
    <row r="39" customFormat="false" ht="15" hidden="false" customHeight="false" outlineLevel="0" collapsed="false">
      <c r="A39" s="6" t="s">
        <v>3101</v>
      </c>
      <c r="B39" s="6" t="n">
        <f aca="false">COUNTIF(Promises!$C$2:$C$1047,"Matthew *")</f>
        <v>39</v>
      </c>
    </row>
    <row r="40" customFormat="false" ht="15" hidden="false" customHeight="false" outlineLevel="0" collapsed="false">
      <c r="A40" s="6" t="s">
        <v>3102</v>
      </c>
      <c r="B40" s="6" t="n">
        <f aca="false">COUNTIF(Promises!$C$2:$C$1047,"Mark *")</f>
        <v>9</v>
      </c>
    </row>
    <row r="41" customFormat="false" ht="15" hidden="false" customHeight="false" outlineLevel="0" collapsed="false">
      <c r="A41" s="6" t="s">
        <v>3103</v>
      </c>
      <c r="B41" s="6" t="n">
        <f aca="false">COUNTIF(Promises!$C$2:$C$1047,"Luke *")</f>
        <v>17</v>
      </c>
    </row>
    <row r="42" customFormat="false" ht="15" hidden="false" customHeight="false" outlineLevel="0" collapsed="false">
      <c r="A42" s="6" t="s">
        <v>3104</v>
      </c>
      <c r="B42" s="6" t="n">
        <f aca="false">COUNTIF(Promises!$C$2:$C$1047,"John *")</f>
        <v>44</v>
      </c>
    </row>
    <row r="43" customFormat="false" ht="15" hidden="false" customHeight="false" outlineLevel="0" collapsed="false">
      <c r="A43" s="6" t="s">
        <v>3105</v>
      </c>
      <c r="B43" s="6" t="n">
        <f aca="false">COUNTIF(Promises!$C$2:$C$1047,"Acts *")</f>
        <v>10</v>
      </c>
    </row>
    <row r="44" customFormat="false" ht="15" hidden="false" customHeight="false" outlineLevel="0" collapsed="false">
      <c r="A44" s="6" t="s">
        <v>3106</v>
      </c>
      <c r="B44" s="6" t="n">
        <f aca="false">COUNTIF(Promises!$C$2:$C$1047,"Romans *")</f>
        <v>21</v>
      </c>
    </row>
    <row r="45" customFormat="false" ht="15" hidden="false" customHeight="false" outlineLevel="0" collapsed="false">
      <c r="A45" s="6" t="s">
        <v>3107</v>
      </c>
      <c r="B45" s="6" t="n">
        <f aca="false">COUNTIF(Promises!$C$2:$C$1047,"1 Corinthians *")</f>
        <v>7</v>
      </c>
    </row>
    <row r="46" customFormat="false" ht="15" hidden="false" customHeight="false" outlineLevel="0" collapsed="false">
      <c r="A46" s="6" t="s">
        <v>3108</v>
      </c>
      <c r="B46" s="6" t="n">
        <f aca="false">COUNTIF(Promises!$C$2:$C$1047,"2 Corinthians *")</f>
        <v>10</v>
      </c>
    </row>
    <row r="47" customFormat="false" ht="15" hidden="false" customHeight="false" outlineLevel="0" collapsed="false">
      <c r="A47" s="6" t="s">
        <v>3109</v>
      </c>
      <c r="B47" s="6" t="n">
        <f aca="false">COUNTIF(Promises!$C$2:$C$1047,"Galatians *")</f>
        <v>5</v>
      </c>
    </row>
    <row r="48" customFormat="false" ht="15" hidden="false" customHeight="false" outlineLevel="0" collapsed="false">
      <c r="A48" s="6" t="s">
        <v>3110</v>
      </c>
      <c r="B48" s="6" t="n">
        <f aca="false">COUNTIF(Promises!$C$2:$C$1047,"Ephesians *")</f>
        <v>5</v>
      </c>
    </row>
    <row r="49" customFormat="false" ht="15" hidden="false" customHeight="false" outlineLevel="0" collapsed="false">
      <c r="A49" s="6" t="s">
        <v>3111</v>
      </c>
      <c r="B49" s="6" t="n">
        <f aca="false">COUNTIF(Promises!$C$2:$C$1047,"Philippians *")</f>
        <v>5</v>
      </c>
    </row>
    <row r="50" customFormat="false" ht="15" hidden="false" customHeight="false" outlineLevel="0" collapsed="false">
      <c r="A50" s="6" t="s">
        <v>3112</v>
      </c>
      <c r="B50" s="6" t="n">
        <f aca="false">COUNTIF(Promises!$C$2:$C$1047,"Colossians *")</f>
        <v>3</v>
      </c>
    </row>
    <row r="51" customFormat="false" ht="15" hidden="false" customHeight="false" outlineLevel="0" collapsed="false">
      <c r="A51" s="6" t="s">
        <v>3113</v>
      </c>
      <c r="B51" s="6" t="n">
        <f aca="false">COUNTIF(Promises!$C$2:$C$1047,"1 Thessalonians *")</f>
        <v>4</v>
      </c>
    </row>
    <row r="52" customFormat="false" ht="15" hidden="false" customHeight="false" outlineLevel="0" collapsed="false">
      <c r="A52" s="6" t="s">
        <v>3114</v>
      </c>
      <c r="B52" s="6" t="n">
        <f aca="false">COUNTIF(Promises!$C$2:$C$1047,"2 Thessalonians *")</f>
        <v>2</v>
      </c>
    </row>
    <row r="53" customFormat="false" ht="15" hidden="false" customHeight="false" outlineLevel="0" collapsed="false">
      <c r="A53" s="6" t="s">
        <v>3115</v>
      </c>
      <c r="B53" s="6" t="n">
        <f aca="false">COUNTIF(Promises!$C$2:$C$1047,"1 Timothy *")</f>
        <v>3</v>
      </c>
    </row>
    <row r="54" customFormat="false" ht="15" hidden="false" customHeight="false" outlineLevel="0" collapsed="false">
      <c r="A54" s="6" t="s">
        <v>3116</v>
      </c>
      <c r="B54" s="6" t="n">
        <f aca="false">COUNTIF(Promises!$C$2:$C$1047,"2 Timothy *")</f>
        <v>5</v>
      </c>
    </row>
    <row r="55" customFormat="false" ht="15" hidden="false" customHeight="false" outlineLevel="0" collapsed="false">
      <c r="A55" s="6" t="s">
        <v>3117</v>
      </c>
      <c r="B55" s="6" t="n">
        <f aca="false">COUNTIF(Promises!$C$2:$C$1047,"Titus *")</f>
        <v>3</v>
      </c>
    </row>
    <row r="56" customFormat="false" ht="15" hidden="false" customHeight="false" outlineLevel="0" collapsed="false">
      <c r="A56" s="6" t="s">
        <v>3118</v>
      </c>
      <c r="B56" s="6" t="n">
        <f aca="false">COUNTIF(Promises!$C$2:$C$1047,"Hebrews *")</f>
        <v>20</v>
      </c>
    </row>
    <row r="57" customFormat="false" ht="15" hidden="false" customHeight="false" outlineLevel="0" collapsed="false">
      <c r="A57" s="6" t="s">
        <v>3119</v>
      </c>
      <c r="B57" s="6" t="n">
        <f aca="false">COUNTIF(Promises!$C$2:$C$1047,"James *")</f>
        <v>7</v>
      </c>
    </row>
    <row r="58" customFormat="false" ht="15" hidden="false" customHeight="false" outlineLevel="0" collapsed="false">
      <c r="A58" s="6" t="s">
        <v>3120</v>
      </c>
      <c r="B58" s="6" t="n">
        <f aca="false">COUNTIF(Promises!$C$2:$C$1047,"1 Peter *")</f>
        <v>8</v>
      </c>
    </row>
    <row r="59" customFormat="false" ht="15" hidden="false" customHeight="false" outlineLevel="0" collapsed="false">
      <c r="A59" s="6" t="s">
        <v>3121</v>
      </c>
      <c r="B59" s="6" t="n">
        <f aca="false">COUNTIF(Promises!$C$2:$C$1047,"2 Peter *")</f>
        <v>5</v>
      </c>
    </row>
    <row r="60" customFormat="false" ht="15" hidden="false" customHeight="false" outlineLevel="0" collapsed="false">
      <c r="A60" s="6" t="s">
        <v>3122</v>
      </c>
      <c r="B60" s="6" t="n">
        <f aca="false">COUNTIF(Promises!$C$2:$C$1047,"1 John *")</f>
        <v>8</v>
      </c>
    </row>
    <row r="61" customFormat="false" ht="15" hidden="false" customHeight="false" outlineLevel="0" collapsed="false">
      <c r="A61" s="6" t="s">
        <v>3123</v>
      </c>
      <c r="B61" s="6" t="n">
        <f aca="false">COUNTIF(Promises!$C$2:$C$1047,"2 John *")</f>
        <v>1</v>
      </c>
    </row>
    <row r="62" customFormat="false" ht="15" hidden="false" customHeight="false" outlineLevel="0" collapsed="false">
      <c r="A62" s="6" t="s">
        <v>3124</v>
      </c>
      <c r="B62" s="6" t="n">
        <f aca="false">COUNTIF(Promises!$C$2:$C$1047,"Jude *")</f>
        <v>1</v>
      </c>
    </row>
    <row r="63" customFormat="false" ht="15" hidden="false" customHeight="false" outlineLevel="0" collapsed="false">
      <c r="A63" s="6" t="s">
        <v>368</v>
      </c>
      <c r="B63" s="6" t="n">
        <f aca="false">COUNTIF(Promises!$C$2:$C$1047,"Revelation *")</f>
        <v>28</v>
      </c>
    </row>
    <row r="64" customFormat="false" ht="15" hidden="false" customHeight="false" outlineLevel="0" collapsed="false">
      <c r="A64" s="6" t="s">
        <v>3125</v>
      </c>
      <c r="B64" s="6" t="n">
        <v>0</v>
      </c>
    </row>
    <row r="65" customFormat="false" ht="15" hidden="false" customHeight="false" outlineLevel="0" collapsed="false">
      <c r="A65" s="6" t="s">
        <v>3126</v>
      </c>
      <c r="B65" s="6" t="n">
        <v>0</v>
      </c>
    </row>
    <row r="66" customFormat="false" ht="15" hidden="false" customHeight="false" outlineLevel="0" collapsed="false">
      <c r="A66" s="6" t="s">
        <v>3127</v>
      </c>
      <c r="B66" s="6" t="n">
        <v>0</v>
      </c>
    </row>
    <row r="67" customFormat="false" ht="15" hidden="false" customHeight="false" outlineLevel="0" collapsed="false">
      <c r="A67" s="6" t="s">
        <v>3128</v>
      </c>
      <c r="B67" s="6" t="n">
        <v>0</v>
      </c>
    </row>
    <row r="68" customFormat="false" ht="15" hidden="false" customHeight="false" outlineLevel="0" collapsed="false">
      <c r="A68" s="7" t="s">
        <v>3129</v>
      </c>
      <c r="B68" s="7" t="n">
        <f aca="false">SUM(B2:B67)</f>
        <v>1046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1" t="s">
        <v>5</v>
      </c>
      <c r="B1" s="1" t="s">
        <v>3130</v>
      </c>
    </row>
    <row r="2" customFormat="false" ht="15" hidden="false" customHeight="false" outlineLevel="0" collapsed="false">
      <c r="A2" s="6" t="s">
        <v>124</v>
      </c>
      <c r="B2" s="6" t="n">
        <v>89</v>
      </c>
    </row>
    <row r="3" customFormat="false" ht="15" hidden="false" customHeight="false" outlineLevel="0" collapsed="false">
      <c r="A3" s="6" t="s">
        <v>191</v>
      </c>
      <c r="B3" s="6" t="n">
        <v>88</v>
      </c>
    </row>
    <row r="4" customFormat="false" ht="15" hidden="false" customHeight="false" outlineLevel="0" collapsed="false">
      <c r="A4" s="6" t="s">
        <v>186</v>
      </c>
      <c r="B4" s="6" t="n">
        <v>82</v>
      </c>
    </row>
    <row r="5" customFormat="false" ht="15" hidden="false" customHeight="false" outlineLevel="0" collapsed="false">
      <c r="A5" s="6" t="s">
        <v>57</v>
      </c>
      <c r="B5" s="6" t="n">
        <v>73</v>
      </c>
    </row>
    <row r="6" customFormat="false" ht="15" hidden="false" customHeight="false" outlineLevel="0" collapsed="false">
      <c r="A6" s="6" t="s">
        <v>160</v>
      </c>
      <c r="B6" s="6" t="n">
        <v>69</v>
      </c>
    </row>
    <row r="7" customFormat="false" ht="15" hidden="false" customHeight="false" outlineLevel="0" collapsed="false">
      <c r="A7" s="6" t="s">
        <v>188</v>
      </c>
      <c r="B7" s="6" t="n">
        <v>67</v>
      </c>
    </row>
    <row r="8" customFormat="false" ht="15" hidden="false" customHeight="false" outlineLevel="0" collapsed="false">
      <c r="A8" s="6" t="s">
        <v>693</v>
      </c>
      <c r="B8" s="6" t="n">
        <v>67</v>
      </c>
    </row>
    <row r="9" customFormat="false" ht="15" hidden="false" customHeight="false" outlineLevel="0" collapsed="false">
      <c r="A9" s="6" t="s">
        <v>35</v>
      </c>
      <c r="B9" s="6" t="n">
        <v>64</v>
      </c>
    </row>
    <row r="10" customFormat="false" ht="15" hidden="false" customHeight="false" outlineLevel="0" collapsed="false">
      <c r="A10" s="6" t="s">
        <v>25</v>
      </c>
      <c r="B10" s="6" t="n">
        <v>59</v>
      </c>
    </row>
    <row r="11" customFormat="false" ht="15" hidden="false" customHeight="false" outlineLevel="0" collapsed="false">
      <c r="A11" s="6" t="s">
        <v>21</v>
      </c>
      <c r="B11" s="6" t="n">
        <v>56</v>
      </c>
    </row>
    <row r="12" customFormat="false" ht="15" hidden="false" customHeight="false" outlineLevel="0" collapsed="false">
      <c r="A12" s="6" t="s">
        <v>27</v>
      </c>
      <c r="B12" s="6" t="n">
        <v>53</v>
      </c>
    </row>
    <row r="13" customFormat="false" ht="15" hidden="false" customHeight="false" outlineLevel="0" collapsed="false">
      <c r="A13" s="6" t="s">
        <v>1509</v>
      </c>
      <c r="B13" s="6" t="n">
        <v>52</v>
      </c>
    </row>
    <row r="14" customFormat="false" ht="15" hidden="false" customHeight="false" outlineLevel="0" collapsed="false">
      <c r="A14" s="6" t="s">
        <v>157</v>
      </c>
      <c r="B14" s="6" t="n">
        <v>47</v>
      </c>
    </row>
    <row r="15" customFormat="false" ht="15" hidden="false" customHeight="false" outlineLevel="0" collapsed="false">
      <c r="A15" s="6" t="s">
        <v>92</v>
      </c>
      <c r="B15" s="6" t="n">
        <v>44</v>
      </c>
    </row>
    <row r="16" customFormat="false" ht="15" hidden="false" customHeight="false" outlineLevel="0" collapsed="false">
      <c r="A16" s="6" t="s">
        <v>984</v>
      </c>
      <c r="B16" s="6" t="n">
        <v>37</v>
      </c>
    </row>
    <row r="17" customFormat="false" ht="15" hidden="false" customHeight="false" outlineLevel="0" collapsed="false">
      <c r="A17" s="6" t="s">
        <v>70</v>
      </c>
      <c r="B17" s="6" t="n">
        <v>34</v>
      </c>
    </row>
    <row r="18" customFormat="false" ht="15" hidden="false" customHeight="false" outlineLevel="0" collapsed="false">
      <c r="A18" s="6" t="s">
        <v>2119</v>
      </c>
      <c r="B18" s="6" t="n">
        <v>32</v>
      </c>
    </row>
    <row r="19" customFormat="false" ht="15" hidden="false" customHeight="false" outlineLevel="0" collapsed="false">
      <c r="A19" s="6" t="s">
        <v>2306</v>
      </c>
      <c r="B19" s="6" t="n">
        <v>32</v>
      </c>
    </row>
    <row r="20" customFormat="false" ht="15" hidden="false" customHeight="false" outlineLevel="0" collapsed="false">
      <c r="A20" s="6" t="s">
        <v>270</v>
      </c>
      <c r="B20" s="6" t="n">
        <v>30</v>
      </c>
    </row>
    <row r="21" customFormat="false" ht="15" hidden="false" customHeight="false" outlineLevel="0" collapsed="false">
      <c r="A21" s="6" t="s">
        <v>31</v>
      </c>
      <c r="B21" s="6" t="n">
        <v>27</v>
      </c>
    </row>
    <row r="22" customFormat="false" ht="15" hidden="false" customHeight="false" outlineLevel="0" collapsed="false">
      <c r="A22" s="6" t="s">
        <v>841</v>
      </c>
      <c r="B22" s="6" t="n">
        <v>27</v>
      </c>
    </row>
    <row r="23" customFormat="false" ht="15" hidden="false" customHeight="false" outlineLevel="0" collapsed="false">
      <c r="A23" s="6" t="s">
        <v>81</v>
      </c>
      <c r="B23" s="6" t="n">
        <v>26</v>
      </c>
    </row>
    <row r="24" customFormat="false" ht="15" hidden="false" customHeight="false" outlineLevel="0" collapsed="false">
      <c r="A24" s="6" t="s">
        <v>684</v>
      </c>
      <c r="B24" s="6" t="n">
        <v>26</v>
      </c>
    </row>
    <row r="25" customFormat="false" ht="15" hidden="false" customHeight="false" outlineLevel="0" collapsed="false">
      <c r="A25" s="6" t="s">
        <v>2472</v>
      </c>
      <c r="B25" s="6" t="n">
        <v>25</v>
      </c>
    </row>
    <row r="26" customFormat="false" ht="15" hidden="false" customHeight="false" outlineLevel="0" collapsed="false">
      <c r="A26" s="6" t="s">
        <v>546</v>
      </c>
      <c r="B26" s="6" t="n">
        <v>25</v>
      </c>
    </row>
    <row r="27" customFormat="false" ht="15" hidden="false" customHeight="false" outlineLevel="0" collapsed="false">
      <c r="A27" s="6" t="s">
        <v>1081</v>
      </c>
      <c r="B27" s="6" t="n">
        <v>23</v>
      </c>
    </row>
    <row r="28" customFormat="false" ht="15" hidden="false" customHeight="false" outlineLevel="0" collapsed="false">
      <c r="A28" s="6" t="s">
        <v>17</v>
      </c>
      <c r="B28" s="6" t="n">
        <v>23</v>
      </c>
    </row>
    <row r="29" customFormat="false" ht="15" hidden="false" customHeight="false" outlineLevel="0" collapsed="false">
      <c r="A29" s="6" t="s">
        <v>1557</v>
      </c>
      <c r="B29" s="6" t="n">
        <v>22</v>
      </c>
    </row>
    <row r="30" customFormat="false" ht="15" hidden="false" customHeight="false" outlineLevel="0" collapsed="false">
      <c r="A30" s="6" t="s">
        <v>3131</v>
      </c>
      <c r="B30" s="6" t="n">
        <v>22</v>
      </c>
    </row>
    <row r="31" customFormat="false" ht="15" hidden="false" customHeight="false" outlineLevel="0" collapsed="false">
      <c r="A31" s="6" t="s">
        <v>2376</v>
      </c>
      <c r="B31" s="6" t="n">
        <v>22</v>
      </c>
    </row>
    <row r="32" customFormat="false" ht="15" hidden="false" customHeight="false" outlineLevel="0" collapsed="false">
      <c r="A32" s="6" t="s">
        <v>1177</v>
      </c>
      <c r="B32" s="6" t="n">
        <v>21</v>
      </c>
    </row>
    <row r="33" customFormat="false" ht="15" hidden="false" customHeight="false" outlineLevel="0" collapsed="false">
      <c r="A33" s="6" t="s">
        <v>52</v>
      </c>
      <c r="B33" s="6" t="n">
        <v>19</v>
      </c>
    </row>
    <row r="34" customFormat="false" ht="15" hidden="false" customHeight="false" outlineLevel="0" collapsed="false">
      <c r="A34" s="6" t="s">
        <v>55</v>
      </c>
      <c r="B34" s="6" t="n">
        <v>18</v>
      </c>
    </row>
    <row r="35" customFormat="false" ht="15" hidden="false" customHeight="false" outlineLevel="0" collapsed="false">
      <c r="A35" s="6" t="s">
        <v>3132</v>
      </c>
      <c r="B35" s="6" t="n">
        <v>17</v>
      </c>
    </row>
    <row r="36" customFormat="false" ht="15" hidden="false" customHeight="false" outlineLevel="0" collapsed="false">
      <c r="A36" s="6" t="s">
        <v>2532</v>
      </c>
      <c r="B36" s="6" t="n">
        <v>17</v>
      </c>
    </row>
    <row r="37" customFormat="false" ht="15" hidden="false" customHeight="false" outlineLevel="0" collapsed="false">
      <c r="A37" s="6" t="s">
        <v>244</v>
      </c>
      <c r="B37" s="6" t="n">
        <v>16</v>
      </c>
    </row>
    <row r="38" customFormat="false" ht="15" hidden="false" customHeight="false" outlineLevel="0" collapsed="false">
      <c r="A38" s="6" t="s">
        <v>1820</v>
      </c>
      <c r="B38" s="6" t="n">
        <v>13</v>
      </c>
    </row>
    <row r="39" customFormat="false" ht="15" hidden="false" customHeight="false" outlineLevel="0" collapsed="false">
      <c r="A39" s="6" t="s">
        <v>496</v>
      </c>
      <c r="B39" s="6" t="n">
        <v>13</v>
      </c>
    </row>
    <row r="40" customFormat="false" ht="15" hidden="false" customHeight="false" outlineLevel="0" collapsed="false">
      <c r="A40" s="6" t="s">
        <v>2899</v>
      </c>
      <c r="B40" s="6" t="n">
        <v>11</v>
      </c>
    </row>
    <row r="41" customFormat="false" ht="15" hidden="false" customHeight="false" outlineLevel="0" collapsed="false">
      <c r="A41" s="6" t="s">
        <v>3133</v>
      </c>
      <c r="B41" s="6" t="n">
        <v>11</v>
      </c>
    </row>
    <row r="42" customFormat="false" ht="15" hidden="false" customHeight="false" outlineLevel="0" collapsed="false">
      <c r="A42" s="6" t="s">
        <v>3134</v>
      </c>
      <c r="B42" s="6" t="n">
        <v>10</v>
      </c>
    </row>
    <row r="43" customFormat="false" ht="15" hidden="false" customHeight="false" outlineLevel="0" collapsed="false">
      <c r="A43" s="6" t="s">
        <v>2298</v>
      </c>
      <c r="B43" s="6" t="n">
        <v>9</v>
      </c>
    </row>
    <row r="44" customFormat="false" ht="15" hidden="false" customHeight="false" outlineLevel="0" collapsed="false">
      <c r="A44" s="6" t="s">
        <v>1999</v>
      </c>
      <c r="B44" s="6" t="n">
        <v>9</v>
      </c>
    </row>
    <row r="45" customFormat="false" ht="15" hidden="false" customHeight="false" outlineLevel="0" collapsed="false">
      <c r="A45" s="6" t="s">
        <v>1714</v>
      </c>
      <c r="B45" s="6" t="n">
        <v>9</v>
      </c>
    </row>
    <row r="46" customFormat="false" ht="15" hidden="false" customHeight="false" outlineLevel="0" collapsed="false">
      <c r="A46" s="6" t="s">
        <v>2422</v>
      </c>
      <c r="B46" s="6" t="n">
        <v>9</v>
      </c>
    </row>
    <row r="47" customFormat="false" ht="15" hidden="false" customHeight="false" outlineLevel="0" collapsed="false">
      <c r="A47" s="6" t="s">
        <v>1145</v>
      </c>
      <c r="B47" s="6" t="n">
        <v>8</v>
      </c>
    </row>
    <row r="48" customFormat="false" ht="15" hidden="false" customHeight="false" outlineLevel="0" collapsed="false">
      <c r="A48" s="6" t="s">
        <v>3135</v>
      </c>
      <c r="B48" s="6" t="n">
        <v>7</v>
      </c>
    </row>
    <row r="49" customFormat="false" ht="15" hidden="false" customHeight="false" outlineLevel="0" collapsed="false">
      <c r="A49" s="6" t="s">
        <v>2632</v>
      </c>
      <c r="B49" s="6" t="n">
        <v>7</v>
      </c>
    </row>
    <row r="50" customFormat="false" ht="15" hidden="false" customHeight="false" outlineLevel="0" collapsed="false">
      <c r="A50" s="6" t="s">
        <v>1856</v>
      </c>
      <c r="B50" s="6" t="n">
        <v>7</v>
      </c>
    </row>
    <row r="51" customFormat="false" ht="15" hidden="false" customHeight="false" outlineLevel="0" collapsed="false">
      <c r="A51" s="6" t="s">
        <v>2002</v>
      </c>
      <c r="B51" s="6" t="n">
        <v>7</v>
      </c>
    </row>
    <row r="52" customFormat="false" ht="15" hidden="false" customHeight="false" outlineLevel="0" collapsed="false">
      <c r="A52" s="6" t="s">
        <v>105</v>
      </c>
      <c r="B52" s="6" t="n">
        <v>7</v>
      </c>
    </row>
    <row r="53" customFormat="false" ht="15" hidden="false" customHeight="false" outlineLevel="0" collapsed="false">
      <c r="A53" s="6" t="s">
        <v>826</v>
      </c>
      <c r="B53" s="6" t="n">
        <v>7</v>
      </c>
    </row>
    <row r="54" customFormat="false" ht="15" hidden="false" customHeight="false" outlineLevel="0" collapsed="false">
      <c r="A54" s="6" t="s">
        <v>3136</v>
      </c>
      <c r="B54" s="6" t="n">
        <v>6</v>
      </c>
    </row>
    <row r="55" customFormat="false" ht="15" hidden="false" customHeight="false" outlineLevel="0" collapsed="false">
      <c r="A55" s="6" t="s">
        <v>3137</v>
      </c>
      <c r="B55" s="6" t="n">
        <v>6</v>
      </c>
    </row>
    <row r="56" customFormat="false" ht="15" hidden="false" customHeight="false" outlineLevel="0" collapsed="false">
      <c r="A56" s="6" t="s">
        <v>1084</v>
      </c>
      <c r="B56" s="6" t="n">
        <v>6</v>
      </c>
    </row>
    <row r="57" customFormat="false" ht="15" hidden="false" customHeight="false" outlineLevel="0" collapsed="false">
      <c r="A57" s="6" t="s">
        <v>3138</v>
      </c>
      <c r="B57" s="6" t="n">
        <v>6</v>
      </c>
    </row>
    <row r="58" customFormat="false" ht="15" hidden="false" customHeight="false" outlineLevel="0" collapsed="false">
      <c r="A58" s="6" t="s">
        <v>3139</v>
      </c>
      <c r="B58" s="6" t="n">
        <v>6</v>
      </c>
    </row>
    <row r="59" customFormat="false" ht="15" hidden="false" customHeight="false" outlineLevel="0" collapsed="false">
      <c r="A59" s="6" t="s">
        <v>1093</v>
      </c>
      <c r="B59" s="6" t="n">
        <v>6</v>
      </c>
    </row>
    <row r="60" customFormat="false" ht="15" hidden="false" customHeight="false" outlineLevel="0" collapsed="false">
      <c r="A60" s="6" t="s">
        <v>3140</v>
      </c>
      <c r="B60" s="6" t="n">
        <v>5</v>
      </c>
    </row>
    <row r="61" customFormat="false" ht="15" hidden="false" customHeight="false" outlineLevel="0" collapsed="false">
      <c r="A61" s="6" t="s">
        <v>2906</v>
      </c>
      <c r="B61" s="6" t="n">
        <v>5</v>
      </c>
    </row>
    <row r="62" customFormat="false" ht="15" hidden="false" customHeight="false" outlineLevel="0" collapsed="false">
      <c r="A62" s="6" t="s">
        <v>3141</v>
      </c>
      <c r="B62" s="6" t="n">
        <v>5</v>
      </c>
    </row>
    <row r="63" customFormat="false" ht="15" hidden="false" customHeight="false" outlineLevel="0" collapsed="false">
      <c r="A63" s="6" t="s">
        <v>3142</v>
      </c>
      <c r="B63" s="6" t="n">
        <v>5</v>
      </c>
    </row>
    <row r="64" customFormat="false" ht="15" hidden="false" customHeight="false" outlineLevel="0" collapsed="false">
      <c r="A64" s="6" t="s">
        <v>368</v>
      </c>
      <c r="B64" s="6" t="n">
        <v>5</v>
      </c>
    </row>
    <row r="65" customFormat="false" ht="15" hidden="false" customHeight="false" outlineLevel="0" collapsed="false">
      <c r="A65" s="6" t="s">
        <v>3143</v>
      </c>
      <c r="B65" s="6" t="n">
        <v>5</v>
      </c>
    </row>
    <row r="66" customFormat="false" ht="15" hidden="false" customHeight="false" outlineLevel="0" collapsed="false">
      <c r="A66" s="6" t="s">
        <v>3144</v>
      </c>
      <c r="B66" s="6" t="n">
        <v>5</v>
      </c>
    </row>
    <row r="67" customFormat="false" ht="15" hidden="false" customHeight="false" outlineLevel="0" collapsed="false">
      <c r="A67" s="6" t="s">
        <v>1934</v>
      </c>
      <c r="B67" s="6" t="n">
        <v>4</v>
      </c>
    </row>
    <row r="68" customFormat="false" ht="15" hidden="false" customHeight="false" outlineLevel="0" collapsed="false">
      <c r="A68" s="6" t="s">
        <v>3145</v>
      </c>
      <c r="B68" s="6" t="n">
        <v>3</v>
      </c>
    </row>
    <row r="69" customFormat="false" ht="15" hidden="false" customHeight="false" outlineLevel="0" collapsed="false">
      <c r="A69" s="6" t="s">
        <v>3146</v>
      </c>
      <c r="B69" s="6" t="n">
        <v>3</v>
      </c>
    </row>
    <row r="70" customFormat="false" ht="15" hidden="false" customHeight="false" outlineLevel="0" collapsed="false">
      <c r="A70" s="6" t="s">
        <v>2443</v>
      </c>
      <c r="B70" s="6" t="n">
        <v>3</v>
      </c>
    </row>
    <row r="71" customFormat="false" ht="15" hidden="false" customHeight="false" outlineLevel="0" collapsed="false">
      <c r="A71" s="6" t="s">
        <v>3147</v>
      </c>
      <c r="B71" s="6" t="n">
        <v>3</v>
      </c>
    </row>
    <row r="72" customFormat="false" ht="15" hidden="false" customHeight="false" outlineLevel="0" collapsed="false">
      <c r="A72" s="6" t="s">
        <v>1210</v>
      </c>
      <c r="B72" s="6" t="n">
        <v>3</v>
      </c>
    </row>
    <row r="73" customFormat="false" ht="15" hidden="false" customHeight="false" outlineLevel="0" collapsed="false">
      <c r="A73" s="6" t="s">
        <v>1349</v>
      </c>
      <c r="B73" s="6" t="n">
        <v>3</v>
      </c>
    </row>
    <row r="74" customFormat="false" ht="15" hidden="false" customHeight="false" outlineLevel="0" collapsed="false">
      <c r="A74" s="6" t="s">
        <v>3148</v>
      </c>
      <c r="B74" s="6" t="n">
        <v>3</v>
      </c>
    </row>
    <row r="75" customFormat="false" ht="15" hidden="false" customHeight="false" outlineLevel="0" collapsed="false">
      <c r="A75" s="6" t="s">
        <v>3149</v>
      </c>
      <c r="B75" s="6" t="n">
        <v>3</v>
      </c>
    </row>
    <row r="76" customFormat="false" ht="15" hidden="false" customHeight="false" outlineLevel="0" collapsed="false">
      <c r="A76" s="6" t="s">
        <v>3150</v>
      </c>
      <c r="B76" s="6" t="n">
        <v>3</v>
      </c>
    </row>
    <row r="77" customFormat="false" ht="15" hidden="false" customHeight="false" outlineLevel="0" collapsed="false">
      <c r="A77" s="6" t="s">
        <v>39</v>
      </c>
      <c r="B77" s="6" t="n">
        <v>3</v>
      </c>
    </row>
    <row r="78" customFormat="false" ht="15" hidden="false" customHeight="false" outlineLevel="0" collapsed="false">
      <c r="A78" s="6" t="s">
        <v>3151</v>
      </c>
      <c r="B78" s="6" t="n">
        <v>3</v>
      </c>
    </row>
    <row r="79" customFormat="false" ht="15" hidden="false" customHeight="false" outlineLevel="0" collapsed="false">
      <c r="A79" s="6" t="s">
        <v>3152</v>
      </c>
      <c r="B79" s="6" t="n">
        <v>2</v>
      </c>
    </row>
    <row r="80" customFormat="false" ht="15" hidden="false" customHeight="false" outlineLevel="0" collapsed="false">
      <c r="A80" s="6" t="s">
        <v>3153</v>
      </c>
      <c r="B80" s="6" t="n">
        <v>2</v>
      </c>
    </row>
    <row r="81" customFormat="false" ht="15" hidden="false" customHeight="false" outlineLevel="0" collapsed="false">
      <c r="A81" s="6" t="s">
        <v>3154</v>
      </c>
      <c r="B81" s="6" t="n">
        <v>2</v>
      </c>
    </row>
    <row r="82" customFormat="false" ht="15" hidden="false" customHeight="false" outlineLevel="0" collapsed="false">
      <c r="A82" s="6" t="s">
        <v>3155</v>
      </c>
      <c r="B82" s="6" t="n">
        <v>2</v>
      </c>
    </row>
    <row r="83" customFormat="false" ht="15" hidden="false" customHeight="false" outlineLevel="0" collapsed="false">
      <c r="A83" s="6" t="s">
        <v>2518</v>
      </c>
      <c r="B83" s="6" t="n">
        <v>2</v>
      </c>
    </row>
    <row r="84" customFormat="false" ht="15" hidden="false" customHeight="false" outlineLevel="0" collapsed="false">
      <c r="A84" s="6" t="s">
        <v>3156</v>
      </c>
      <c r="B84" s="6" t="n">
        <v>2</v>
      </c>
    </row>
    <row r="85" customFormat="false" ht="15" hidden="false" customHeight="false" outlineLevel="0" collapsed="false">
      <c r="A85" s="6" t="s">
        <v>3157</v>
      </c>
      <c r="B85" s="6" t="n">
        <v>2</v>
      </c>
    </row>
    <row r="86" customFormat="false" ht="15" hidden="false" customHeight="false" outlineLevel="0" collapsed="false">
      <c r="A86" s="6" t="s">
        <v>3158</v>
      </c>
      <c r="B86" s="6" t="n">
        <v>2</v>
      </c>
    </row>
    <row r="87" customFormat="false" ht="15" hidden="false" customHeight="false" outlineLevel="0" collapsed="false">
      <c r="A87" s="6" t="s">
        <v>3159</v>
      </c>
      <c r="B87" s="6" t="n">
        <v>2</v>
      </c>
    </row>
    <row r="88" customFormat="false" ht="15" hidden="false" customHeight="false" outlineLevel="0" collapsed="false">
      <c r="A88" s="6" t="s">
        <v>3160</v>
      </c>
      <c r="B88" s="6" t="n">
        <v>2</v>
      </c>
    </row>
    <row r="89" customFormat="false" ht="15" hidden="false" customHeight="false" outlineLevel="0" collapsed="false">
      <c r="A89" s="6" t="s">
        <v>3161</v>
      </c>
      <c r="B89" s="6" t="n">
        <v>2</v>
      </c>
    </row>
    <row r="90" customFormat="false" ht="15" hidden="false" customHeight="false" outlineLevel="0" collapsed="false">
      <c r="A90" s="6" t="s">
        <v>3162</v>
      </c>
      <c r="B90" s="6" t="n">
        <v>2</v>
      </c>
    </row>
    <row r="91" customFormat="false" ht="15" hidden="false" customHeight="false" outlineLevel="0" collapsed="false">
      <c r="A91" s="6" t="s">
        <v>3163</v>
      </c>
      <c r="B91" s="6" t="n">
        <v>1</v>
      </c>
    </row>
    <row r="92" customFormat="false" ht="15" hidden="false" customHeight="false" outlineLevel="0" collapsed="false">
      <c r="A92" s="6" t="s">
        <v>3164</v>
      </c>
      <c r="B92" s="6" t="n">
        <v>1</v>
      </c>
    </row>
    <row r="93" customFormat="false" ht="15" hidden="false" customHeight="false" outlineLevel="0" collapsed="false">
      <c r="A93" s="6" t="s">
        <v>3165</v>
      </c>
      <c r="B93" s="6" t="n">
        <v>1</v>
      </c>
    </row>
    <row r="94" customFormat="false" ht="15" hidden="false" customHeight="false" outlineLevel="0" collapsed="false">
      <c r="A94" s="6" t="s">
        <v>3166</v>
      </c>
      <c r="B94" s="6" t="n">
        <v>1</v>
      </c>
    </row>
    <row r="95" customFormat="false" ht="15" hidden="false" customHeight="false" outlineLevel="0" collapsed="false">
      <c r="A95" s="6" t="s">
        <v>3167</v>
      </c>
      <c r="B95" s="6" t="n">
        <v>1</v>
      </c>
    </row>
    <row r="96" customFormat="false" ht="15" hidden="false" customHeight="false" outlineLevel="0" collapsed="false">
      <c r="A96" s="6" t="s">
        <v>3168</v>
      </c>
      <c r="B96" s="6" t="n">
        <v>1</v>
      </c>
    </row>
    <row r="97" customFormat="false" ht="15" hidden="false" customHeight="false" outlineLevel="0" collapsed="false">
      <c r="A97" s="6" t="s">
        <v>3169</v>
      </c>
      <c r="B97" s="6" t="n">
        <v>1</v>
      </c>
    </row>
    <row r="98" customFormat="false" ht="15" hidden="false" customHeight="false" outlineLevel="0" collapsed="false">
      <c r="A98" s="6" t="s">
        <v>3170</v>
      </c>
      <c r="B98" s="6" t="n">
        <v>1</v>
      </c>
    </row>
    <row r="99" customFormat="false" ht="15" hidden="false" customHeight="false" outlineLevel="0" collapsed="false">
      <c r="A99" s="6" t="s">
        <v>3171</v>
      </c>
      <c r="B99" s="6" t="n">
        <v>1</v>
      </c>
    </row>
    <row r="100" customFormat="false" ht="15" hidden="false" customHeight="false" outlineLevel="0" collapsed="false">
      <c r="A100" s="6" t="s">
        <v>3172</v>
      </c>
      <c r="B100" s="6" t="n">
        <v>1</v>
      </c>
    </row>
    <row r="101" customFormat="false" ht="15" hidden="false" customHeight="false" outlineLevel="0" collapsed="false">
      <c r="A101" s="6" t="s">
        <v>3173</v>
      </c>
      <c r="B101" s="6" t="n">
        <v>1</v>
      </c>
    </row>
    <row r="102" customFormat="false" ht="15" hidden="false" customHeight="false" outlineLevel="0" collapsed="false">
      <c r="A102" s="6" t="s">
        <v>3174</v>
      </c>
      <c r="B102" s="6" t="n">
        <v>1</v>
      </c>
    </row>
    <row r="103" customFormat="false" ht="15" hidden="false" customHeight="false" outlineLevel="0" collapsed="false">
      <c r="A103" s="6" t="s">
        <v>230</v>
      </c>
      <c r="B103" s="6" t="n">
        <v>1</v>
      </c>
    </row>
    <row r="104" customFormat="false" ht="15" hidden="false" customHeight="false" outlineLevel="0" collapsed="false">
      <c r="A104" s="6" t="s">
        <v>3175</v>
      </c>
      <c r="B104" s="6" t="n">
        <v>1</v>
      </c>
    </row>
    <row r="105" customFormat="false" ht="15" hidden="false" customHeight="false" outlineLevel="0" collapsed="false">
      <c r="A105" s="6" t="s">
        <v>3176</v>
      </c>
      <c r="B105" s="6" t="n">
        <v>1</v>
      </c>
    </row>
    <row r="106" customFormat="false" ht="15" hidden="false" customHeight="false" outlineLevel="0" collapsed="false">
      <c r="A106" s="6" t="s">
        <v>3177</v>
      </c>
      <c r="B106" s="6" t="n">
        <v>1</v>
      </c>
    </row>
    <row r="107" customFormat="false" ht="15" hidden="false" customHeight="false" outlineLevel="0" collapsed="false">
      <c r="A107" s="6" t="s">
        <v>3178</v>
      </c>
      <c r="B107" s="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5</v>
      </c>
      <c r="B1" s="1" t="s">
        <v>3179</v>
      </c>
    </row>
    <row r="2" customFormat="false" ht="15" hidden="false" customHeight="false" outlineLevel="0" collapsed="false">
      <c r="A2" s="7" t="s">
        <v>3163</v>
      </c>
      <c r="B2" s="8" t="s">
        <v>3180</v>
      </c>
    </row>
    <row r="3" customFormat="false" ht="15" hidden="false" customHeight="false" outlineLevel="0" collapsed="false">
      <c r="A3" s="7" t="s">
        <v>3145</v>
      </c>
      <c r="B3" s="8" t="s">
        <v>3181</v>
      </c>
    </row>
    <row r="4" customFormat="false" ht="15" hidden="false" customHeight="false" outlineLevel="0" collapsed="false">
      <c r="A4" s="7" t="s">
        <v>3146</v>
      </c>
      <c r="B4" s="8" t="s">
        <v>3182</v>
      </c>
    </row>
    <row r="5" customFormat="false" ht="15" hidden="false" customHeight="false" outlineLevel="0" collapsed="false">
      <c r="A5" s="7" t="s">
        <v>2443</v>
      </c>
      <c r="B5" s="8" t="s">
        <v>3183</v>
      </c>
    </row>
    <row r="6" customFormat="false" ht="15" hidden="false" customHeight="false" outlineLevel="0" collapsed="false">
      <c r="A6" s="7" t="s">
        <v>2298</v>
      </c>
      <c r="B6" s="8" t="s">
        <v>3184</v>
      </c>
    </row>
    <row r="7" customFormat="false" ht="15" hidden="false" customHeight="false" outlineLevel="0" collapsed="false">
      <c r="A7" s="7" t="s">
        <v>3164</v>
      </c>
      <c r="B7" s="8" t="s">
        <v>3185</v>
      </c>
    </row>
    <row r="8" customFormat="false" ht="15" hidden="false" customHeight="false" outlineLevel="0" collapsed="false">
      <c r="A8" s="7" t="s">
        <v>3136</v>
      </c>
      <c r="B8" s="8" t="s">
        <v>3186</v>
      </c>
    </row>
    <row r="9" customFormat="false" ht="15" hidden="false" customHeight="false" outlineLevel="0" collapsed="false">
      <c r="A9" s="7" t="s">
        <v>3152</v>
      </c>
      <c r="B9" s="8" t="s">
        <v>3187</v>
      </c>
    </row>
    <row r="10" customFormat="false" ht="32.8" hidden="false" customHeight="false" outlineLevel="0" collapsed="false">
      <c r="A10" s="7" t="s">
        <v>57</v>
      </c>
      <c r="B10" s="8" t="s">
        <v>3188</v>
      </c>
    </row>
    <row r="11" customFormat="false" ht="15" hidden="false" customHeight="false" outlineLevel="0" collapsed="false">
      <c r="A11" s="7" t="s">
        <v>3140</v>
      </c>
      <c r="B11" s="8" t="s">
        <v>3189</v>
      </c>
    </row>
    <row r="12" customFormat="false" ht="15" hidden="false" customHeight="false" outlineLevel="0" collapsed="false">
      <c r="A12" s="7" t="s">
        <v>3165</v>
      </c>
      <c r="B12" s="8" t="s">
        <v>3190</v>
      </c>
    </row>
    <row r="13" customFormat="false" ht="15" hidden="false" customHeight="false" outlineLevel="0" collapsed="false">
      <c r="A13" s="7" t="s">
        <v>1999</v>
      </c>
      <c r="B13" s="8" t="s">
        <v>3191</v>
      </c>
    </row>
    <row r="14" customFormat="false" ht="15" hidden="false" customHeight="false" outlineLevel="0" collapsed="false">
      <c r="A14" s="7" t="s">
        <v>1557</v>
      </c>
      <c r="B14" s="8" t="s">
        <v>3192</v>
      </c>
    </row>
    <row r="15" customFormat="false" ht="15" hidden="false" customHeight="false" outlineLevel="0" collapsed="false">
      <c r="A15" s="7" t="s">
        <v>3137</v>
      </c>
      <c r="B15" s="8" t="s">
        <v>3193</v>
      </c>
    </row>
    <row r="16" customFormat="false" ht="15" hidden="false" customHeight="false" outlineLevel="0" collapsed="false">
      <c r="A16" s="7" t="s">
        <v>1084</v>
      </c>
      <c r="B16" s="8" t="s">
        <v>3194</v>
      </c>
    </row>
    <row r="17" customFormat="false" ht="15" hidden="false" customHeight="false" outlineLevel="0" collapsed="false">
      <c r="A17" s="7" t="s">
        <v>3166</v>
      </c>
      <c r="B17" s="8" t="s">
        <v>3195</v>
      </c>
    </row>
    <row r="18" customFormat="false" ht="22.35" hidden="false" customHeight="false" outlineLevel="0" collapsed="false">
      <c r="A18" s="7" t="s">
        <v>25</v>
      </c>
      <c r="B18" s="8" t="s">
        <v>3196</v>
      </c>
    </row>
    <row r="19" customFormat="false" ht="22.35" hidden="false" customHeight="false" outlineLevel="0" collapsed="false">
      <c r="A19" s="7" t="s">
        <v>27</v>
      </c>
      <c r="B19" s="8" t="s">
        <v>3197</v>
      </c>
    </row>
    <row r="20" customFormat="false" ht="15" hidden="false" customHeight="false" outlineLevel="0" collapsed="false">
      <c r="A20" s="7" t="s">
        <v>3153</v>
      </c>
      <c r="B20" s="8" t="s">
        <v>3198</v>
      </c>
    </row>
    <row r="21" customFormat="false" ht="15" hidden="false" customHeight="false" outlineLevel="0" collapsed="false">
      <c r="A21" s="7" t="s">
        <v>3167</v>
      </c>
      <c r="B21" s="8" t="s">
        <v>3199</v>
      </c>
    </row>
    <row r="22" customFormat="false" ht="15" hidden="false" customHeight="false" outlineLevel="0" collapsed="false">
      <c r="A22" s="7" t="s">
        <v>3154</v>
      </c>
      <c r="B22" s="8" t="s">
        <v>3200</v>
      </c>
    </row>
    <row r="23" customFormat="false" ht="15" hidden="false" customHeight="false" outlineLevel="0" collapsed="false">
      <c r="A23" s="7" t="s">
        <v>2472</v>
      </c>
      <c r="B23" s="8" t="s">
        <v>3201</v>
      </c>
    </row>
    <row r="24" customFormat="false" ht="15" hidden="false" customHeight="false" outlineLevel="0" collapsed="false">
      <c r="A24" s="7" t="s">
        <v>2906</v>
      </c>
      <c r="B24" s="8" t="s">
        <v>3202</v>
      </c>
    </row>
    <row r="25" customFormat="false" ht="15" hidden="false" customHeight="false" outlineLevel="0" collapsed="false">
      <c r="A25" s="7" t="s">
        <v>3147</v>
      </c>
      <c r="B25" s="8" t="s">
        <v>3203</v>
      </c>
    </row>
    <row r="26" customFormat="false" ht="32.8" hidden="false" customHeight="false" outlineLevel="0" collapsed="false">
      <c r="A26" s="7" t="s">
        <v>188</v>
      </c>
      <c r="B26" s="8" t="s">
        <v>3204</v>
      </c>
    </row>
    <row r="27" customFormat="false" ht="15" hidden="false" customHeight="false" outlineLevel="0" collapsed="false">
      <c r="A27" s="7" t="s">
        <v>3141</v>
      </c>
      <c r="B27" s="8" t="s">
        <v>3205</v>
      </c>
    </row>
    <row r="28" customFormat="false" ht="15" hidden="false" customHeight="false" outlineLevel="0" collapsed="false">
      <c r="A28" s="7" t="s">
        <v>3168</v>
      </c>
      <c r="B28" s="8" t="s">
        <v>3206</v>
      </c>
    </row>
    <row r="29" customFormat="false" ht="15" hidden="false" customHeight="false" outlineLevel="0" collapsed="false">
      <c r="A29" s="7" t="s">
        <v>1210</v>
      </c>
      <c r="B29" s="8" t="s">
        <v>3207</v>
      </c>
    </row>
    <row r="30" customFormat="false" ht="15" hidden="false" customHeight="false" outlineLevel="0" collapsed="false">
      <c r="A30" s="7" t="s">
        <v>3155</v>
      </c>
      <c r="B30" s="8" t="s">
        <v>3208</v>
      </c>
    </row>
    <row r="31" customFormat="false" ht="15" hidden="false" customHeight="false" outlineLevel="0" collapsed="false">
      <c r="A31" s="7" t="s">
        <v>1081</v>
      </c>
      <c r="B31" s="8" t="s">
        <v>3209</v>
      </c>
    </row>
    <row r="32" customFormat="false" ht="15" hidden="false" customHeight="false" outlineLevel="0" collapsed="false">
      <c r="A32" s="7" t="s">
        <v>2518</v>
      </c>
      <c r="B32" s="8" t="s">
        <v>3210</v>
      </c>
    </row>
    <row r="33" customFormat="false" ht="15" hidden="false" customHeight="false" outlineLevel="0" collapsed="false">
      <c r="A33" s="7" t="s">
        <v>1349</v>
      </c>
      <c r="B33" s="8" t="s">
        <v>3211</v>
      </c>
    </row>
    <row r="34" customFormat="false" ht="15" hidden="false" customHeight="false" outlineLevel="0" collapsed="false">
      <c r="A34" s="7" t="s">
        <v>3169</v>
      </c>
      <c r="B34" s="8" t="s">
        <v>3212</v>
      </c>
    </row>
    <row r="35" customFormat="false" ht="15" hidden="false" customHeight="false" outlineLevel="0" collapsed="false">
      <c r="A35" s="7" t="s">
        <v>3148</v>
      </c>
      <c r="B35" s="8" t="s">
        <v>3213</v>
      </c>
    </row>
    <row r="36" customFormat="false" ht="15" hidden="false" customHeight="false" outlineLevel="0" collapsed="false">
      <c r="A36" s="7" t="s">
        <v>3132</v>
      </c>
      <c r="B36" s="8" t="s">
        <v>3214</v>
      </c>
    </row>
    <row r="37" customFormat="false" ht="15" hidden="false" customHeight="false" outlineLevel="0" collapsed="false">
      <c r="A37" s="7" t="s">
        <v>1934</v>
      </c>
      <c r="B37" s="8" t="s">
        <v>3215</v>
      </c>
    </row>
    <row r="38" customFormat="false" ht="15" hidden="false" customHeight="false" outlineLevel="0" collapsed="false">
      <c r="A38" s="7" t="s">
        <v>2899</v>
      </c>
      <c r="B38" s="8" t="s">
        <v>3216</v>
      </c>
    </row>
    <row r="39" customFormat="false" ht="15" hidden="false" customHeight="false" outlineLevel="0" collapsed="false">
      <c r="A39" s="7" t="s">
        <v>52</v>
      </c>
      <c r="B39" s="8" t="s">
        <v>3217</v>
      </c>
    </row>
    <row r="40" customFormat="false" ht="15" hidden="false" customHeight="false" outlineLevel="0" collapsed="false">
      <c r="A40" s="7" t="s">
        <v>3156</v>
      </c>
      <c r="B40" s="8" t="s">
        <v>3218</v>
      </c>
    </row>
    <row r="41" customFormat="false" ht="22.35" hidden="false" customHeight="false" outlineLevel="0" collapsed="false">
      <c r="A41" s="7" t="s">
        <v>270</v>
      </c>
      <c r="B41" s="8" t="s">
        <v>3219</v>
      </c>
    </row>
    <row r="42" customFormat="false" ht="15" hidden="false" customHeight="false" outlineLevel="0" collapsed="false">
      <c r="A42" s="7" t="s">
        <v>3157</v>
      </c>
      <c r="B42" s="8" t="s">
        <v>3220</v>
      </c>
    </row>
    <row r="43" customFormat="false" ht="15" hidden="false" customHeight="false" outlineLevel="0" collapsed="false">
      <c r="A43" s="7" t="s">
        <v>3158</v>
      </c>
      <c r="B43" s="8" t="s">
        <v>3221</v>
      </c>
    </row>
    <row r="44" customFormat="false" ht="22.35" hidden="false" customHeight="false" outlineLevel="0" collapsed="false">
      <c r="A44" s="7" t="s">
        <v>2119</v>
      </c>
      <c r="B44" s="8" t="s">
        <v>3222</v>
      </c>
    </row>
    <row r="45" customFormat="false" ht="15" hidden="false" customHeight="false" outlineLevel="0" collapsed="false">
      <c r="A45" s="7" t="s">
        <v>3133</v>
      </c>
      <c r="B45" s="8" t="s">
        <v>3223</v>
      </c>
    </row>
    <row r="46" customFormat="false" ht="15" hidden="false" customHeight="false" outlineLevel="0" collapsed="false">
      <c r="A46" s="7" t="s">
        <v>3134</v>
      </c>
      <c r="B46" s="8" t="s">
        <v>3224</v>
      </c>
    </row>
    <row r="47" customFormat="false" ht="15" hidden="false" customHeight="false" outlineLevel="0" collapsed="false">
      <c r="A47" s="7" t="s">
        <v>3135</v>
      </c>
      <c r="B47" s="8" t="s">
        <v>3225</v>
      </c>
    </row>
    <row r="48" customFormat="false" ht="15" hidden="false" customHeight="false" outlineLevel="0" collapsed="false">
      <c r="A48" s="7" t="s">
        <v>81</v>
      </c>
      <c r="B48" s="8" t="s">
        <v>3226</v>
      </c>
    </row>
    <row r="49" customFormat="false" ht="15" hidden="false" customHeight="false" outlineLevel="0" collapsed="false">
      <c r="A49" s="7" t="s">
        <v>3170</v>
      </c>
      <c r="B49" s="8" t="s">
        <v>3227</v>
      </c>
    </row>
    <row r="50" customFormat="false" ht="15" hidden="false" customHeight="false" outlineLevel="0" collapsed="false">
      <c r="A50" s="7" t="s">
        <v>3131</v>
      </c>
      <c r="B50" s="8" t="s">
        <v>3228</v>
      </c>
    </row>
    <row r="51" customFormat="false" ht="15" hidden="false" customHeight="false" outlineLevel="0" collapsed="false">
      <c r="A51" s="7" t="s">
        <v>31</v>
      </c>
      <c r="B51" s="8" t="s">
        <v>3229</v>
      </c>
    </row>
    <row r="52" customFormat="false" ht="15" hidden="false" customHeight="false" outlineLevel="0" collapsed="false">
      <c r="A52" s="7" t="s">
        <v>1177</v>
      </c>
      <c r="B52" s="8" t="s">
        <v>3230</v>
      </c>
    </row>
    <row r="53" customFormat="false" ht="15" hidden="false" customHeight="false" outlineLevel="0" collapsed="false">
      <c r="A53" s="7" t="s">
        <v>2632</v>
      </c>
      <c r="B53" s="8" t="s">
        <v>3231</v>
      </c>
    </row>
    <row r="54" customFormat="false" ht="32.8" hidden="false" customHeight="false" outlineLevel="0" collapsed="false">
      <c r="A54" s="7" t="s">
        <v>693</v>
      </c>
      <c r="B54" s="8" t="s">
        <v>3232</v>
      </c>
    </row>
    <row r="55" customFormat="false" ht="15" hidden="false" customHeight="false" outlineLevel="0" collapsed="false">
      <c r="A55" s="7" t="s">
        <v>3171</v>
      </c>
      <c r="B55" s="8" t="s">
        <v>3233</v>
      </c>
    </row>
    <row r="56" customFormat="false" ht="22.35" hidden="false" customHeight="false" outlineLevel="0" collapsed="false">
      <c r="A56" s="7" t="s">
        <v>70</v>
      </c>
      <c r="B56" s="8" t="s">
        <v>3234</v>
      </c>
    </row>
    <row r="57" customFormat="false" ht="15" hidden="false" customHeight="false" outlineLevel="0" collapsed="false">
      <c r="A57" s="7" t="s">
        <v>684</v>
      </c>
      <c r="B57" s="8" t="s">
        <v>3235</v>
      </c>
    </row>
    <row r="58" customFormat="false" ht="15" hidden="false" customHeight="false" outlineLevel="0" collapsed="false">
      <c r="A58" s="7" t="s">
        <v>3159</v>
      </c>
      <c r="B58" s="8" t="s">
        <v>3236</v>
      </c>
    </row>
    <row r="59" customFormat="false" ht="15" hidden="false" customHeight="false" outlineLevel="0" collapsed="false">
      <c r="A59" s="7" t="s">
        <v>1820</v>
      </c>
      <c r="B59" s="8" t="s">
        <v>3237</v>
      </c>
    </row>
    <row r="60" customFormat="false" ht="32.8" hidden="false" customHeight="false" outlineLevel="0" collapsed="false">
      <c r="A60" s="7" t="s">
        <v>35</v>
      </c>
      <c r="B60" s="8" t="s">
        <v>3238</v>
      </c>
    </row>
    <row r="61" customFormat="false" ht="32.8" hidden="false" customHeight="false" outlineLevel="0" collapsed="false">
      <c r="A61" s="7" t="s">
        <v>160</v>
      </c>
      <c r="B61" s="8" t="s">
        <v>3239</v>
      </c>
    </row>
    <row r="62" customFormat="false" ht="15" hidden="false" customHeight="false" outlineLevel="0" collapsed="false">
      <c r="A62" s="7" t="s">
        <v>3172</v>
      </c>
      <c r="B62" s="8" t="s">
        <v>3199</v>
      </c>
    </row>
    <row r="63" customFormat="false" ht="15" hidden="false" customHeight="false" outlineLevel="0" collapsed="false">
      <c r="A63" s="7" t="s">
        <v>3149</v>
      </c>
      <c r="B63" s="8" t="s">
        <v>3240</v>
      </c>
    </row>
    <row r="64" customFormat="false" ht="15" hidden="false" customHeight="false" outlineLevel="0" collapsed="false">
      <c r="A64" s="7" t="s">
        <v>55</v>
      </c>
      <c r="B64" s="8" t="s">
        <v>3241</v>
      </c>
    </row>
    <row r="65" customFormat="false" ht="15" hidden="false" customHeight="false" outlineLevel="0" collapsed="false">
      <c r="A65" s="7" t="s">
        <v>3150</v>
      </c>
      <c r="B65" s="8" t="s">
        <v>3242</v>
      </c>
    </row>
    <row r="66" customFormat="false" ht="15" hidden="false" customHeight="false" outlineLevel="0" collapsed="false">
      <c r="A66" s="7" t="s">
        <v>1856</v>
      </c>
      <c r="B66" s="8" t="s">
        <v>3243</v>
      </c>
    </row>
    <row r="67" customFormat="false" ht="15" hidden="false" customHeight="false" outlineLevel="0" collapsed="false">
      <c r="A67" s="7" t="s">
        <v>1714</v>
      </c>
      <c r="B67" s="8" t="s">
        <v>3244</v>
      </c>
    </row>
    <row r="68" customFormat="false" ht="15" hidden="false" customHeight="false" outlineLevel="0" collapsed="false">
      <c r="A68" s="7" t="s">
        <v>2002</v>
      </c>
      <c r="B68" s="8" t="s">
        <v>3245</v>
      </c>
    </row>
    <row r="69" customFormat="false" ht="22.35" hidden="false" customHeight="false" outlineLevel="0" collapsed="false">
      <c r="A69" s="7" t="s">
        <v>92</v>
      </c>
      <c r="B69" s="8" t="s">
        <v>3246</v>
      </c>
    </row>
    <row r="70" customFormat="false" ht="15" hidden="false" customHeight="false" outlineLevel="0" collapsed="false">
      <c r="A70" s="7" t="s">
        <v>3138</v>
      </c>
      <c r="B70" s="8" t="s">
        <v>3247</v>
      </c>
    </row>
    <row r="71" customFormat="false" ht="15" hidden="false" customHeight="false" outlineLevel="0" collapsed="false">
      <c r="A71" s="7" t="s">
        <v>2422</v>
      </c>
      <c r="B71" s="8" t="s">
        <v>3248</v>
      </c>
    </row>
    <row r="72" customFormat="false" ht="22.35" hidden="false" customHeight="false" outlineLevel="0" collapsed="false">
      <c r="A72" s="7" t="s">
        <v>984</v>
      </c>
      <c r="B72" s="8" t="s">
        <v>3249</v>
      </c>
    </row>
    <row r="73" customFormat="false" ht="43.25" hidden="false" customHeight="false" outlineLevel="0" collapsed="false">
      <c r="A73" s="7" t="s">
        <v>191</v>
      </c>
      <c r="B73" s="8" t="s">
        <v>3250</v>
      </c>
    </row>
    <row r="74" customFormat="false" ht="15" hidden="false" customHeight="false" outlineLevel="0" collapsed="false">
      <c r="A74" s="7" t="s">
        <v>3142</v>
      </c>
      <c r="B74" s="8" t="s">
        <v>3251</v>
      </c>
    </row>
    <row r="75" customFormat="false" ht="15" hidden="false" customHeight="false" outlineLevel="0" collapsed="false">
      <c r="A75" s="7" t="s">
        <v>3139</v>
      </c>
      <c r="B75" s="8" t="s">
        <v>3252</v>
      </c>
    </row>
    <row r="76" customFormat="false" ht="15" hidden="false" customHeight="false" outlineLevel="0" collapsed="false">
      <c r="A76" s="7" t="s">
        <v>3173</v>
      </c>
      <c r="B76" s="8" t="s">
        <v>3253</v>
      </c>
    </row>
    <row r="77" customFormat="false" ht="15" hidden="false" customHeight="false" outlineLevel="0" collapsed="false">
      <c r="A77" s="7" t="s">
        <v>105</v>
      </c>
      <c r="B77" s="8" t="s">
        <v>3254</v>
      </c>
    </row>
    <row r="78" customFormat="false" ht="22.35" hidden="false" customHeight="false" outlineLevel="0" collapsed="false">
      <c r="A78" s="7" t="s">
        <v>21</v>
      </c>
      <c r="B78" s="8" t="s">
        <v>3255</v>
      </c>
    </row>
    <row r="79" customFormat="false" ht="15" hidden="false" customHeight="false" outlineLevel="0" collapsed="false">
      <c r="A79" s="7" t="s">
        <v>39</v>
      </c>
      <c r="B79" s="8" t="s">
        <v>3256</v>
      </c>
    </row>
    <row r="80" customFormat="false" ht="43.25" hidden="false" customHeight="false" outlineLevel="0" collapsed="false">
      <c r="A80" s="7" t="s">
        <v>124</v>
      </c>
      <c r="B80" s="8" t="s">
        <v>3257</v>
      </c>
    </row>
    <row r="81" customFormat="false" ht="15" hidden="false" customHeight="false" outlineLevel="0" collapsed="false">
      <c r="A81" s="7" t="s">
        <v>17</v>
      </c>
      <c r="B81" s="8" t="s">
        <v>3258</v>
      </c>
    </row>
    <row r="82" customFormat="false" ht="15" hidden="false" customHeight="false" outlineLevel="0" collapsed="false">
      <c r="A82" s="7" t="s">
        <v>826</v>
      </c>
      <c r="B82" s="8" t="s">
        <v>3259</v>
      </c>
    </row>
    <row r="83" customFormat="false" ht="15" hidden="false" customHeight="false" outlineLevel="0" collapsed="false">
      <c r="A83" s="7" t="s">
        <v>3160</v>
      </c>
      <c r="B83" s="8" t="s">
        <v>3260</v>
      </c>
    </row>
    <row r="84" customFormat="false" ht="15" hidden="false" customHeight="false" outlineLevel="0" collapsed="false">
      <c r="A84" s="7" t="s">
        <v>3174</v>
      </c>
      <c r="B84" s="8" t="s">
        <v>3261</v>
      </c>
    </row>
    <row r="85" customFormat="false" ht="15" hidden="false" customHeight="false" outlineLevel="0" collapsed="false">
      <c r="A85" s="7" t="s">
        <v>1145</v>
      </c>
      <c r="B85" s="8" t="s">
        <v>3262</v>
      </c>
    </row>
    <row r="86" customFormat="false" ht="32.8" hidden="false" customHeight="false" outlineLevel="0" collapsed="false">
      <c r="A86" s="7" t="s">
        <v>186</v>
      </c>
      <c r="B86" s="8" t="s">
        <v>3263</v>
      </c>
    </row>
    <row r="87" customFormat="false" ht="15" hidden="false" customHeight="false" outlineLevel="0" collapsed="false">
      <c r="A87" s="7" t="s">
        <v>841</v>
      </c>
      <c r="B87" s="8" t="s">
        <v>3264</v>
      </c>
    </row>
    <row r="88" customFormat="false" ht="15" hidden="false" customHeight="false" outlineLevel="0" collapsed="false">
      <c r="A88" s="7" t="s">
        <v>368</v>
      </c>
      <c r="B88" s="8" t="s">
        <v>3265</v>
      </c>
    </row>
    <row r="89" customFormat="false" ht="22.35" hidden="false" customHeight="false" outlineLevel="0" collapsed="false">
      <c r="A89" s="7" t="s">
        <v>2306</v>
      </c>
      <c r="B89" s="8" t="s">
        <v>3266</v>
      </c>
    </row>
    <row r="90" customFormat="false" ht="15" hidden="false" customHeight="false" outlineLevel="0" collapsed="false">
      <c r="A90" s="7" t="s">
        <v>3151</v>
      </c>
      <c r="B90" s="8" t="s">
        <v>3267</v>
      </c>
    </row>
    <row r="91" customFormat="false" ht="22.35" hidden="false" customHeight="false" outlineLevel="0" collapsed="false">
      <c r="A91" s="7" t="s">
        <v>1509</v>
      </c>
      <c r="B91" s="8" t="s">
        <v>3268</v>
      </c>
    </row>
    <row r="92" customFormat="false" ht="15" hidden="false" customHeight="false" outlineLevel="0" collapsed="false">
      <c r="A92" s="7" t="s">
        <v>496</v>
      </c>
      <c r="B92" s="8" t="s">
        <v>3269</v>
      </c>
    </row>
    <row r="93" customFormat="false" ht="15" hidden="false" customHeight="false" outlineLevel="0" collapsed="false">
      <c r="A93" s="7" t="s">
        <v>1093</v>
      </c>
      <c r="B93" s="8" t="s">
        <v>3270</v>
      </c>
    </row>
    <row r="94" customFormat="false" ht="15" hidden="false" customHeight="false" outlineLevel="0" collapsed="false">
      <c r="A94" s="7" t="s">
        <v>2376</v>
      </c>
      <c r="B94" s="8" t="s">
        <v>3271</v>
      </c>
    </row>
    <row r="95" customFormat="false" ht="15" hidden="false" customHeight="false" outlineLevel="0" collapsed="false">
      <c r="A95" s="7" t="s">
        <v>2532</v>
      </c>
      <c r="B95" s="8" t="s">
        <v>3272</v>
      </c>
    </row>
    <row r="96" customFormat="false" ht="15" hidden="false" customHeight="false" outlineLevel="0" collapsed="false">
      <c r="A96" s="7" t="s">
        <v>230</v>
      </c>
      <c r="B96" s="8" t="s">
        <v>3273</v>
      </c>
    </row>
    <row r="97" customFormat="false" ht="15" hidden="false" customHeight="false" outlineLevel="0" collapsed="false">
      <c r="A97" s="7" t="s">
        <v>3175</v>
      </c>
      <c r="B97" s="8" t="s">
        <v>3274</v>
      </c>
    </row>
    <row r="98" customFormat="false" ht="15" hidden="false" customHeight="false" outlineLevel="0" collapsed="false">
      <c r="A98" s="7" t="s">
        <v>546</v>
      </c>
      <c r="B98" s="8" t="s">
        <v>3275</v>
      </c>
    </row>
    <row r="99" customFormat="false" ht="15" hidden="false" customHeight="false" outlineLevel="0" collapsed="false">
      <c r="A99" s="7" t="s">
        <v>3161</v>
      </c>
      <c r="B99" s="8" t="s">
        <v>3276</v>
      </c>
    </row>
    <row r="100" customFormat="false" ht="15" hidden="false" customHeight="false" outlineLevel="0" collapsed="false">
      <c r="A100" s="7" t="s">
        <v>3143</v>
      </c>
      <c r="B100" s="8" t="s">
        <v>3277</v>
      </c>
    </row>
    <row r="101" customFormat="false" ht="15" hidden="false" customHeight="false" outlineLevel="0" collapsed="false">
      <c r="A101" s="7" t="s">
        <v>3176</v>
      </c>
      <c r="B101" s="8" t="s">
        <v>3278</v>
      </c>
    </row>
    <row r="102" customFormat="false" ht="15" hidden="false" customHeight="false" outlineLevel="0" collapsed="false">
      <c r="A102" s="7" t="s">
        <v>3162</v>
      </c>
      <c r="B102" s="8" t="s">
        <v>3279</v>
      </c>
    </row>
    <row r="103" customFormat="false" ht="15" hidden="false" customHeight="false" outlineLevel="0" collapsed="false">
      <c r="A103" s="7" t="s">
        <v>3177</v>
      </c>
      <c r="B103" s="8" t="s">
        <v>3280</v>
      </c>
    </row>
    <row r="104" customFormat="false" ht="15" hidden="false" customHeight="false" outlineLevel="0" collapsed="false">
      <c r="A104" s="7" t="s">
        <v>3178</v>
      </c>
      <c r="B104" s="8" t="s">
        <v>3281</v>
      </c>
    </row>
    <row r="105" customFormat="false" ht="22.35" hidden="false" customHeight="false" outlineLevel="0" collapsed="false">
      <c r="A105" s="7" t="s">
        <v>157</v>
      </c>
      <c r="B105" s="8" t="s">
        <v>3282</v>
      </c>
    </row>
    <row r="106" customFormat="false" ht="15" hidden="false" customHeight="false" outlineLevel="0" collapsed="false">
      <c r="A106" s="7" t="s">
        <v>244</v>
      </c>
      <c r="B106" s="8" t="s">
        <v>3283</v>
      </c>
    </row>
    <row r="107" customFormat="false" ht="15" hidden="false" customHeight="false" outlineLevel="0" collapsed="false">
      <c r="A107" s="7" t="s">
        <v>3144</v>
      </c>
      <c r="B107" s="8" t="s">
        <v>3284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110"/>
  </cols>
  <sheetData>
    <row r="1" customFormat="false" ht="15" hidden="false" customHeight="false" outlineLevel="0" collapsed="false">
      <c r="A1" s="1" t="s">
        <v>4</v>
      </c>
      <c r="B1" s="1" t="s">
        <v>3130</v>
      </c>
      <c r="C1" s="1" t="s">
        <v>3179</v>
      </c>
    </row>
    <row r="2" customFormat="false" ht="116.4" hidden="false" customHeight="false" outlineLevel="0" collapsed="false">
      <c r="A2" s="7" t="s">
        <v>218</v>
      </c>
      <c r="B2" s="6" t="n">
        <v>258</v>
      </c>
      <c r="C2" s="8" t="s">
        <v>3285</v>
      </c>
    </row>
    <row r="3" customFormat="false" ht="43.25" hidden="false" customHeight="false" outlineLevel="0" collapsed="false">
      <c r="A3" s="7" t="s">
        <v>844</v>
      </c>
      <c r="B3" s="6" t="n">
        <v>85</v>
      </c>
      <c r="C3" s="8" t="s">
        <v>3286</v>
      </c>
    </row>
    <row r="4" customFormat="false" ht="22.35" hidden="false" customHeight="false" outlineLevel="0" collapsed="false">
      <c r="A4" s="7" t="s">
        <v>2313</v>
      </c>
      <c r="B4" s="6" t="n">
        <v>37</v>
      </c>
      <c r="C4" s="8" t="s">
        <v>3287</v>
      </c>
    </row>
    <row r="5" customFormat="false" ht="22.35" hidden="false" customHeight="false" outlineLevel="0" collapsed="false">
      <c r="A5" s="7" t="s">
        <v>880</v>
      </c>
      <c r="B5" s="6" t="n">
        <v>31</v>
      </c>
      <c r="C5" s="8" t="s">
        <v>3288</v>
      </c>
    </row>
    <row r="6" customFormat="false" ht="22.35" hidden="false" customHeight="false" outlineLevel="0" collapsed="false">
      <c r="A6" s="7" t="s">
        <v>1156</v>
      </c>
      <c r="B6" s="6" t="n">
        <v>27</v>
      </c>
      <c r="C6" s="8" t="s">
        <v>3289</v>
      </c>
    </row>
    <row r="7" customFormat="false" ht="15" hidden="false" customHeight="false" outlineLevel="0" collapsed="false">
      <c r="A7" s="7" t="s">
        <v>729</v>
      </c>
      <c r="B7" s="6" t="n">
        <v>25</v>
      </c>
      <c r="C7" s="8" t="s">
        <v>3290</v>
      </c>
    </row>
    <row r="8" customFormat="false" ht="15" hidden="false" customHeight="false" outlineLevel="0" collapsed="false">
      <c r="A8" s="7" t="s">
        <v>178</v>
      </c>
      <c r="B8" s="6" t="n">
        <v>20</v>
      </c>
      <c r="C8" s="8" t="s">
        <v>3291</v>
      </c>
    </row>
    <row r="9" customFormat="false" ht="15" hidden="false" customHeight="false" outlineLevel="0" collapsed="false">
      <c r="A9" s="7" t="s">
        <v>1375</v>
      </c>
      <c r="B9" s="6" t="n">
        <v>20</v>
      </c>
      <c r="C9" s="8" t="s">
        <v>3292</v>
      </c>
    </row>
    <row r="10" customFormat="false" ht="15" hidden="false" customHeight="false" outlineLevel="0" collapsed="false">
      <c r="A10" s="7" t="s">
        <v>795</v>
      </c>
      <c r="B10" s="6" t="n">
        <v>20</v>
      </c>
      <c r="C10" s="8" t="s">
        <v>3293</v>
      </c>
    </row>
    <row r="11" customFormat="false" ht="15" hidden="false" customHeight="false" outlineLevel="0" collapsed="false">
      <c r="A11" s="7" t="s">
        <v>65</v>
      </c>
      <c r="B11" s="6" t="n">
        <v>19</v>
      </c>
      <c r="C11" s="8" t="s">
        <v>3294</v>
      </c>
    </row>
    <row r="12" customFormat="false" ht="15" hidden="false" customHeight="false" outlineLevel="0" collapsed="false">
      <c r="A12" s="7" t="s">
        <v>641</v>
      </c>
      <c r="B12" s="6" t="n">
        <v>18</v>
      </c>
      <c r="C12" s="8" t="s">
        <v>3295</v>
      </c>
    </row>
    <row r="13" customFormat="false" ht="15" hidden="false" customHeight="false" outlineLevel="0" collapsed="false">
      <c r="A13" s="7" t="s">
        <v>110</v>
      </c>
      <c r="B13" s="6" t="n">
        <v>14</v>
      </c>
      <c r="C13" s="8" t="s">
        <v>3296</v>
      </c>
    </row>
    <row r="14" customFormat="false" ht="15" hidden="false" customHeight="false" outlineLevel="0" collapsed="false">
      <c r="A14" s="7" t="s">
        <v>51</v>
      </c>
      <c r="B14" s="6" t="n">
        <v>14</v>
      </c>
      <c r="C14" s="8" t="s">
        <v>3297</v>
      </c>
    </row>
    <row r="15" customFormat="false" ht="15" hidden="false" customHeight="false" outlineLevel="0" collapsed="false">
      <c r="A15" s="7" t="s">
        <v>1574</v>
      </c>
      <c r="B15" s="6" t="n">
        <v>14</v>
      </c>
      <c r="C15" s="8" t="s">
        <v>3298</v>
      </c>
    </row>
    <row r="16" customFormat="false" ht="15" hidden="false" customHeight="false" outlineLevel="0" collapsed="false">
      <c r="A16" s="7" t="s">
        <v>530</v>
      </c>
      <c r="B16" s="6" t="n">
        <v>14</v>
      </c>
      <c r="C16" s="8" t="s">
        <v>3299</v>
      </c>
    </row>
    <row r="17" customFormat="false" ht="15" hidden="false" customHeight="false" outlineLevel="0" collapsed="false">
      <c r="A17" s="7" t="s">
        <v>678</v>
      </c>
      <c r="B17" s="6" t="n">
        <v>12</v>
      </c>
      <c r="C17" s="8" t="s">
        <v>3300</v>
      </c>
    </row>
    <row r="18" customFormat="false" ht="15" hidden="false" customHeight="false" outlineLevel="0" collapsed="false">
      <c r="A18" s="7" t="s">
        <v>225</v>
      </c>
      <c r="B18" s="6" t="n">
        <v>11</v>
      </c>
      <c r="C18" s="8" t="s">
        <v>3301</v>
      </c>
    </row>
    <row r="19" customFormat="false" ht="15" hidden="false" customHeight="false" outlineLevel="0" collapsed="false">
      <c r="A19" s="7" t="s">
        <v>840</v>
      </c>
      <c r="B19" s="6" t="n">
        <v>10</v>
      </c>
      <c r="C19" s="8" t="s">
        <v>3302</v>
      </c>
    </row>
    <row r="20" customFormat="false" ht="15" hidden="false" customHeight="false" outlineLevel="0" collapsed="false">
      <c r="A20" s="7" t="s">
        <v>872</v>
      </c>
      <c r="B20" s="6" t="n">
        <v>9</v>
      </c>
      <c r="C20" s="8" t="s">
        <v>3303</v>
      </c>
    </row>
    <row r="21" customFormat="false" ht="15" hidden="false" customHeight="false" outlineLevel="0" collapsed="false">
      <c r="A21" s="7" t="s">
        <v>890</v>
      </c>
      <c r="B21" s="6" t="n">
        <v>9</v>
      </c>
      <c r="C21" s="8" t="s">
        <v>3304</v>
      </c>
    </row>
    <row r="22" customFormat="false" ht="15" hidden="false" customHeight="false" outlineLevel="0" collapsed="false">
      <c r="A22" s="7" t="s">
        <v>45</v>
      </c>
      <c r="B22" s="6" t="n">
        <v>8</v>
      </c>
      <c r="C22" s="8" t="s">
        <v>3305</v>
      </c>
    </row>
    <row r="23" customFormat="false" ht="15" hidden="false" customHeight="false" outlineLevel="0" collapsed="false">
      <c r="A23" s="7" t="s">
        <v>2353</v>
      </c>
      <c r="B23" s="6" t="n">
        <v>8</v>
      </c>
      <c r="C23" s="8" t="s">
        <v>3306</v>
      </c>
    </row>
    <row r="24" customFormat="false" ht="15" hidden="false" customHeight="false" outlineLevel="0" collapsed="false">
      <c r="A24" s="7" t="s">
        <v>1310</v>
      </c>
      <c r="B24" s="6" t="n">
        <v>8</v>
      </c>
      <c r="C24" s="8" t="s">
        <v>3307</v>
      </c>
    </row>
    <row r="25" customFormat="false" ht="15" hidden="false" customHeight="false" outlineLevel="0" collapsed="false">
      <c r="A25" s="7" t="s">
        <v>818</v>
      </c>
      <c r="B25" s="6" t="n">
        <v>8</v>
      </c>
      <c r="C25" s="8" t="s">
        <v>3308</v>
      </c>
    </row>
    <row r="26" customFormat="false" ht="15" hidden="false" customHeight="false" outlineLevel="0" collapsed="false">
      <c r="A26" s="7" t="s">
        <v>858</v>
      </c>
      <c r="B26" s="6" t="n">
        <v>7</v>
      </c>
      <c r="C26" s="8" t="s">
        <v>3309</v>
      </c>
    </row>
    <row r="27" customFormat="false" ht="15" hidden="false" customHeight="false" outlineLevel="0" collapsed="false">
      <c r="A27" s="7" t="s">
        <v>2179</v>
      </c>
      <c r="B27" s="6" t="n">
        <v>7</v>
      </c>
      <c r="C27" s="8" t="s">
        <v>3310</v>
      </c>
    </row>
    <row r="28" customFormat="false" ht="15" hidden="false" customHeight="false" outlineLevel="0" collapsed="false">
      <c r="A28" s="7" t="s">
        <v>971</v>
      </c>
      <c r="B28" s="6" t="n">
        <v>7</v>
      </c>
      <c r="C28" s="8" t="s">
        <v>3311</v>
      </c>
    </row>
    <row r="29" customFormat="false" ht="15" hidden="false" customHeight="false" outlineLevel="0" collapsed="false">
      <c r="A29" s="7" t="s">
        <v>1056</v>
      </c>
      <c r="B29" s="6" t="n">
        <v>6</v>
      </c>
      <c r="C29" s="8" t="s">
        <v>3312</v>
      </c>
    </row>
    <row r="30" customFormat="false" ht="15" hidden="false" customHeight="false" outlineLevel="0" collapsed="false">
      <c r="A30" s="7" t="s">
        <v>1342</v>
      </c>
      <c r="B30" s="6" t="n">
        <v>6</v>
      </c>
      <c r="C30" s="8" t="s">
        <v>3313</v>
      </c>
    </row>
    <row r="31" customFormat="false" ht="15" hidden="false" customHeight="false" outlineLevel="0" collapsed="false">
      <c r="A31" s="7" t="s">
        <v>1432</v>
      </c>
      <c r="B31" s="6" t="n">
        <v>6</v>
      </c>
      <c r="C31" s="8" t="s">
        <v>3314</v>
      </c>
    </row>
    <row r="32" customFormat="false" ht="15" hidden="false" customHeight="false" outlineLevel="0" collapsed="false">
      <c r="A32" s="7" t="s">
        <v>923</v>
      </c>
      <c r="B32" s="6" t="n">
        <v>6</v>
      </c>
      <c r="C32" s="8" t="s">
        <v>3315</v>
      </c>
    </row>
    <row r="33" customFormat="false" ht="15" hidden="false" customHeight="false" outlineLevel="0" collapsed="false">
      <c r="A33" s="7" t="s">
        <v>1249</v>
      </c>
      <c r="B33" s="6" t="n">
        <v>6</v>
      </c>
      <c r="C33" s="8" t="s">
        <v>3316</v>
      </c>
    </row>
    <row r="34" customFormat="false" ht="15" hidden="false" customHeight="false" outlineLevel="0" collapsed="false">
      <c r="A34" s="7" t="s">
        <v>934</v>
      </c>
      <c r="B34" s="6" t="n">
        <v>6</v>
      </c>
      <c r="C34" s="8" t="s">
        <v>3317</v>
      </c>
    </row>
    <row r="35" customFormat="false" ht="15" hidden="false" customHeight="false" outlineLevel="0" collapsed="false">
      <c r="A35" s="7" t="s">
        <v>1770</v>
      </c>
      <c r="B35" s="6" t="n">
        <v>5</v>
      </c>
      <c r="C35" s="8" t="s">
        <v>3318</v>
      </c>
    </row>
    <row r="36" customFormat="false" ht="15" hidden="false" customHeight="false" outlineLevel="0" collapsed="false">
      <c r="A36" s="7" t="s">
        <v>1740</v>
      </c>
      <c r="B36" s="6" t="n">
        <v>5</v>
      </c>
      <c r="C36" s="8" t="s">
        <v>3319</v>
      </c>
    </row>
    <row r="37" customFormat="false" ht="15" hidden="false" customHeight="false" outlineLevel="0" collapsed="false">
      <c r="A37" s="7" t="s">
        <v>1787</v>
      </c>
      <c r="B37" s="6" t="n">
        <v>5</v>
      </c>
      <c r="C37" s="8" t="s">
        <v>3320</v>
      </c>
    </row>
    <row r="38" customFormat="false" ht="15" hidden="false" customHeight="false" outlineLevel="0" collapsed="false">
      <c r="A38" s="7" t="s">
        <v>3150</v>
      </c>
      <c r="B38" s="6" t="n">
        <v>5</v>
      </c>
      <c r="C38" s="8" t="s">
        <v>3321</v>
      </c>
    </row>
    <row r="39" customFormat="false" ht="15" hidden="false" customHeight="false" outlineLevel="0" collapsed="false">
      <c r="A39" s="7" t="s">
        <v>2621</v>
      </c>
      <c r="B39" s="6" t="n">
        <v>5</v>
      </c>
      <c r="C39" s="8" t="s">
        <v>3322</v>
      </c>
    </row>
    <row r="40" customFormat="false" ht="15" hidden="false" customHeight="false" outlineLevel="0" collapsed="false">
      <c r="A40" s="7" t="s">
        <v>1229</v>
      </c>
      <c r="B40" s="6" t="n">
        <v>5</v>
      </c>
      <c r="C40" s="8" t="s">
        <v>3323</v>
      </c>
    </row>
    <row r="41" customFormat="false" ht="15" hidden="false" customHeight="false" outlineLevel="0" collapsed="false">
      <c r="A41" s="7" t="s">
        <v>1195</v>
      </c>
      <c r="B41" s="6" t="n">
        <v>5</v>
      </c>
      <c r="C41" s="8" t="s">
        <v>3324</v>
      </c>
    </row>
    <row r="42" customFormat="false" ht="15" hidden="false" customHeight="false" outlineLevel="0" collapsed="false">
      <c r="A42" s="7" t="s">
        <v>69</v>
      </c>
      <c r="B42" s="6" t="n">
        <v>4</v>
      </c>
      <c r="C42" s="8" t="s">
        <v>3325</v>
      </c>
    </row>
    <row r="43" customFormat="false" ht="15" hidden="false" customHeight="false" outlineLevel="0" collapsed="false">
      <c r="A43" s="7" t="s">
        <v>3326</v>
      </c>
      <c r="B43" s="6" t="n">
        <v>4</v>
      </c>
      <c r="C43" s="8" t="s">
        <v>3327</v>
      </c>
    </row>
    <row r="44" customFormat="false" ht="15" hidden="false" customHeight="false" outlineLevel="0" collapsed="false">
      <c r="A44" s="7" t="s">
        <v>983</v>
      </c>
      <c r="B44" s="6" t="n">
        <v>4</v>
      </c>
      <c r="C44" s="8" t="s">
        <v>3328</v>
      </c>
    </row>
    <row r="45" customFormat="false" ht="15" hidden="false" customHeight="false" outlineLevel="0" collapsed="false">
      <c r="A45" s="7" t="s">
        <v>1022</v>
      </c>
      <c r="B45" s="6" t="n">
        <v>4</v>
      </c>
      <c r="C45" s="8" t="s">
        <v>3329</v>
      </c>
    </row>
    <row r="46" customFormat="false" ht="15" hidden="false" customHeight="false" outlineLevel="0" collapsed="false">
      <c r="A46" s="7" t="s">
        <v>1031</v>
      </c>
      <c r="B46" s="6" t="n">
        <v>4</v>
      </c>
      <c r="C46" s="8" t="s">
        <v>3330</v>
      </c>
    </row>
    <row r="47" customFormat="false" ht="15" hidden="false" customHeight="false" outlineLevel="0" collapsed="false">
      <c r="A47" s="7" t="s">
        <v>663</v>
      </c>
      <c r="B47" s="6" t="n">
        <v>4</v>
      </c>
      <c r="C47" s="8" t="s">
        <v>3331</v>
      </c>
    </row>
    <row r="48" customFormat="false" ht="15" hidden="false" customHeight="false" outlineLevel="0" collapsed="false">
      <c r="A48" s="7" t="s">
        <v>595</v>
      </c>
      <c r="B48" s="6" t="n">
        <v>4</v>
      </c>
      <c r="C48" s="8" t="s">
        <v>3332</v>
      </c>
    </row>
    <row r="49" customFormat="false" ht="15" hidden="false" customHeight="false" outlineLevel="0" collapsed="false">
      <c r="A49" s="7" t="s">
        <v>725</v>
      </c>
      <c r="B49" s="6" t="n">
        <v>4</v>
      </c>
      <c r="C49" s="8" t="s">
        <v>3333</v>
      </c>
    </row>
    <row r="50" customFormat="false" ht="15" hidden="false" customHeight="false" outlineLevel="0" collapsed="false">
      <c r="A50" s="7" t="s">
        <v>949</v>
      </c>
      <c r="B50" s="6" t="n">
        <v>4</v>
      </c>
      <c r="C50" s="8" t="s">
        <v>3334</v>
      </c>
    </row>
    <row r="51" customFormat="false" ht="15" hidden="false" customHeight="false" outlineLevel="0" collapsed="false">
      <c r="A51" s="7" t="s">
        <v>16</v>
      </c>
      <c r="B51" s="6" t="n">
        <v>4</v>
      </c>
      <c r="C51" s="8" t="s">
        <v>3335</v>
      </c>
    </row>
    <row r="52" customFormat="false" ht="15" hidden="false" customHeight="false" outlineLevel="0" collapsed="false">
      <c r="A52" s="7" t="s">
        <v>167</v>
      </c>
      <c r="B52" s="6" t="n">
        <v>4</v>
      </c>
      <c r="C52" s="8" t="s">
        <v>3336</v>
      </c>
    </row>
    <row r="53" customFormat="false" ht="15" hidden="false" customHeight="false" outlineLevel="0" collapsed="false">
      <c r="A53" s="7" t="s">
        <v>1863</v>
      </c>
      <c r="B53" s="6" t="n">
        <v>4</v>
      </c>
      <c r="C53" s="8" t="s">
        <v>3337</v>
      </c>
    </row>
    <row r="54" customFormat="false" ht="15" hidden="false" customHeight="false" outlineLevel="0" collapsed="false">
      <c r="A54" s="7" t="s">
        <v>24</v>
      </c>
      <c r="B54" s="6" t="n">
        <v>4</v>
      </c>
      <c r="C54" s="8" t="s">
        <v>3338</v>
      </c>
    </row>
    <row r="55" customFormat="false" ht="15" hidden="false" customHeight="false" outlineLevel="0" collapsed="false">
      <c r="A55" s="7" t="s">
        <v>126</v>
      </c>
      <c r="B55" s="6" t="n">
        <v>4</v>
      </c>
      <c r="C55" s="8" t="s">
        <v>3339</v>
      </c>
    </row>
    <row r="56" customFormat="false" ht="15" hidden="false" customHeight="false" outlineLevel="0" collapsed="false">
      <c r="A56" s="7" t="s">
        <v>851</v>
      </c>
      <c r="B56" s="6" t="n">
        <v>4</v>
      </c>
      <c r="C56" s="8" t="s">
        <v>3340</v>
      </c>
    </row>
    <row r="57" customFormat="false" ht="15" hidden="false" customHeight="false" outlineLevel="0" collapsed="false">
      <c r="A57" s="7" t="s">
        <v>2457</v>
      </c>
      <c r="B57" s="6" t="n">
        <v>4</v>
      </c>
      <c r="C57" s="8" t="s">
        <v>3341</v>
      </c>
    </row>
    <row r="58" customFormat="false" ht="15" hidden="false" customHeight="false" outlineLevel="0" collapsed="false">
      <c r="A58" s="7" t="s">
        <v>2665</v>
      </c>
      <c r="B58" s="6" t="n">
        <v>4</v>
      </c>
      <c r="C58" s="8" t="s">
        <v>3342</v>
      </c>
    </row>
    <row r="59" customFormat="false" ht="15" hidden="false" customHeight="false" outlineLevel="0" collapsed="false">
      <c r="A59" s="7" t="s">
        <v>3343</v>
      </c>
      <c r="B59" s="6" t="n">
        <v>4</v>
      </c>
      <c r="C59" s="8" t="s">
        <v>3344</v>
      </c>
    </row>
    <row r="60" customFormat="false" ht="15" hidden="false" customHeight="false" outlineLevel="0" collapsed="false">
      <c r="A60" s="7" t="s">
        <v>3345</v>
      </c>
      <c r="B60" s="6" t="n">
        <v>3</v>
      </c>
      <c r="C60" s="8" t="s">
        <v>3346</v>
      </c>
    </row>
    <row r="61" customFormat="false" ht="15" hidden="false" customHeight="false" outlineLevel="0" collapsed="false">
      <c r="A61" s="7" t="s">
        <v>1327</v>
      </c>
      <c r="B61" s="6" t="n">
        <v>3</v>
      </c>
      <c r="C61" s="8" t="s">
        <v>3347</v>
      </c>
    </row>
    <row r="62" customFormat="false" ht="15" hidden="false" customHeight="false" outlineLevel="0" collapsed="false">
      <c r="A62" s="7" t="s">
        <v>1616</v>
      </c>
      <c r="B62" s="6" t="n">
        <v>3</v>
      </c>
      <c r="C62" s="8" t="s">
        <v>3348</v>
      </c>
    </row>
    <row r="63" customFormat="false" ht="15" hidden="false" customHeight="false" outlineLevel="0" collapsed="false">
      <c r="A63" s="7" t="s">
        <v>2403</v>
      </c>
      <c r="B63" s="6" t="n">
        <v>3</v>
      </c>
      <c r="C63" s="8" t="s">
        <v>3349</v>
      </c>
    </row>
    <row r="64" customFormat="false" ht="15" hidden="false" customHeight="false" outlineLevel="0" collapsed="false">
      <c r="A64" s="7" t="s">
        <v>2334</v>
      </c>
      <c r="B64" s="6" t="n">
        <v>3</v>
      </c>
      <c r="C64" s="8" t="s">
        <v>3350</v>
      </c>
    </row>
    <row r="65" customFormat="false" ht="15" hidden="false" customHeight="false" outlineLevel="0" collapsed="false">
      <c r="A65" s="7" t="s">
        <v>102</v>
      </c>
      <c r="B65" s="6" t="n">
        <v>3</v>
      </c>
      <c r="C65" s="8" t="s">
        <v>3351</v>
      </c>
    </row>
    <row r="66" customFormat="false" ht="15" hidden="false" customHeight="false" outlineLevel="0" collapsed="false">
      <c r="A66" s="7" t="s">
        <v>1289</v>
      </c>
      <c r="B66" s="6" t="n">
        <v>3</v>
      </c>
      <c r="C66" s="8" t="s">
        <v>3352</v>
      </c>
    </row>
    <row r="67" customFormat="false" ht="15" hidden="false" customHeight="false" outlineLevel="0" collapsed="false">
      <c r="A67" s="7" t="s">
        <v>3353</v>
      </c>
      <c r="B67" s="6" t="n">
        <v>3</v>
      </c>
      <c r="C67" s="8" t="s">
        <v>3354</v>
      </c>
    </row>
    <row r="68" customFormat="false" ht="15" hidden="false" customHeight="false" outlineLevel="0" collapsed="false">
      <c r="A68" s="7" t="s">
        <v>160</v>
      </c>
      <c r="B68" s="6" t="n">
        <v>3</v>
      </c>
      <c r="C68" s="8" t="s">
        <v>3355</v>
      </c>
    </row>
    <row r="69" customFormat="false" ht="15" hidden="false" customHeight="false" outlineLevel="0" collapsed="false">
      <c r="A69" s="7" t="s">
        <v>2253</v>
      </c>
      <c r="B69" s="6" t="n">
        <v>3</v>
      </c>
      <c r="C69" s="8" t="s">
        <v>3356</v>
      </c>
    </row>
    <row r="70" customFormat="false" ht="15" hidden="false" customHeight="false" outlineLevel="0" collapsed="false">
      <c r="A70" s="7" t="s">
        <v>3357</v>
      </c>
      <c r="B70" s="6" t="n">
        <v>3</v>
      </c>
      <c r="C70" s="8" t="s">
        <v>3358</v>
      </c>
    </row>
    <row r="71" customFormat="false" ht="15" hidden="false" customHeight="false" outlineLevel="0" collapsed="false">
      <c r="A71" s="7" t="s">
        <v>2412</v>
      </c>
      <c r="B71" s="6" t="n">
        <v>3</v>
      </c>
      <c r="C71" s="8" t="s">
        <v>3359</v>
      </c>
    </row>
    <row r="72" customFormat="false" ht="15" hidden="false" customHeight="false" outlineLevel="0" collapsed="false">
      <c r="A72" s="7" t="s">
        <v>937</v>
      </c>
      <c r="B72" s="6" t="n">
        <v>3</v>
      </c>
      <c r="C72" s="8" t="s">
        <v>3360</v>
      </c>
    </row>
    <row r="73" customFormat="false" ht="15" hidden="false" customHeight="false" outlineLevel="0" collapsed="false">
      <c r="A73" s="7" t="s">
        <v>3361</v>
      </c>
      <c r="B73" s="6" t="n">
        <v>3</v>
      </c>
      <c r="C73" s="8" t="s">
        <v>3362</v>
      </c>
    </row>
    <row r="74" customFormat="false" ht="15" hidden="false" customHeight="false" outlineLevel="0" collapsed="false">
      <c r="A74" s="7" t="s">
        <v>836</v>
      </c>
      <c r="B74" s="6" t="n">
        <v>3</v>
      </c>
      <c r="C74" s="8" t="s">
        <v>3363</v>
      </c>
    </row>
    <row r="75" customFormat="false" ht="15" hidden="false" customHeight="false" outlineLevel="0" collapsed="false">
      <c r="A75" s="7" t="s">
        <v>1016</v>
      </c>
      <c r="B75" s="6" t="n">
        <v>3</v>
      </c>
      <c r="C75" s="8" t="s">
        <v>3364</v>
      </c>
    </row>
    <row r="76" customFormat="false" ht="15" hidden="false" customHeight="false" outlineLevel="0" collapsed="false">
      <c r="A76" s="7" t="s">
        <v>2647</v>
      </c>
      <c r="B76" s="6" t="n">
        <v>3</v>
      </c>
      <c r="C76" s="8" t="s">
        <v>3365</v>
      </c>
    </row>
    <row r="77" customFormat="false" ht="15" hidden="false" customHeight="false" outlineLevel="0" collapsed="false">
      <c r="A77" s="7" t="s">
        <v>829</v>
      </c>
      <c r="B77" s="6" t="n">
        <v>3</v>
      </c>
      <c r="C77" s="8" t="s">
        <v>3366</v>
      </c>
    </row>
    <row r="78" customFormat="false" ht="15" hidden="false" customHeight="false" outlineLevel="0" collapsed="false">
      <c r="A78" s="7" t="s">
        <v>848</v>
      </c>
      <c r="B78" s="6" t="n">
        <v>3</v>
      </c>
      <c r="C78" s="8" t="s">
        <v>3367</v>
      </c>
    </row>
    <row r="79" customFormat="false" ht="15" hidden="false" customHeight="false" outlineLevel="0" collapsed="false">
      <c r="A79" s="7" t="s">
        <v>3368</v>
      </c>
      <c r="B79" s="6" t="n">
        <v>3</v>
      </c>
      <c r="C79" s="8" t="s">
        <v>3369</v>
      </c>
    </row>
    <row r="80" customFormat="false" ht="15" hidden="false" customHeight="false" outlineLevel="0" collapsed="false">
      <c r="A80" s="7" t="s">
        <v>120</v>
      </c>
      <c r="B80" s="6" t="n">
        <v>2</v>
      </c>
      <c r="C80" s="8" t="s">
        <v>3370</v>
      </c>
    </row>
    <row r="81" customFormat="false" ht="15" hidden="false" customHeight="false" outlineLevel="0" collapsed="false">
      <c r="A81" s="7" t="s">
        <v>1623</v>
      </c>
      <c r="B81" s="6" t="n">
        <v>2</v>
      </c>
      <c r="C81" s="8" t="s">
        <v>3371</v>
      </c>
    </row>
    <row r="82" customFormat="false" ht="15" hidden="false" customHeight="false" outlineLevel="0" collapsed="false">
      <c r="A82" s="7" t="s">
        <v>1267</v>
      </c>
      <c r="B82" s="6" t="n">
        <v>2</v>
      </c>
      <c r="C82" s="8" t="s">
        <v>3372</v>
      </c>
    </row>
    <row r="83" customFormat="false" ht="15" hidden="false" customHeight="false" outlineLevel="0" collapsed="false">
      <c r="A83" s="7" t="s">
        <v>2501</v>
      </c>
      <c r="B83" s="6" t="n">
        <v>2</v>
      </c>
      <c r="C83" s="8" t="s">
        <v>3373</v>
      </c>
    </row>
    <row r="84" customFormat="false" ht="15" hidden="false" customHeight="false" outlineLevel="0" collapsed="false">
      <c r="A84" s="7" t="s">
        <v>675</v>
      </c>
      <c r="B84" s="6" t="n">
        <v>2</v>
      </c>
      <c r="C84" s="8" t="s">
        <v>3374</v>
      </c>
    </row>
    <row r="85" customFormat="false" ht="15" hidden="false" customHeight="false" outlineLevel="0" collapsed="false">
      <c r="A85" s="7" t="s">
        <v>2070</v>
      </c>
      <c r="B85" s="6" t="n">
        <v>2</v>
      </c>
      <c r="C85" s="8" t="s">
        <v>3375</v>
      </c>
    </row>
    <row r="86" customFormat="false" ht="15" hidden="false" customHeight="false" outlineLevel="0" collapsed="false">
      <c r="A86" s="7" t="s">
        <v>1319</v>
      </c>
      <c r="B86" s="6" t="n">
        <v>2</v>
      </c>
      <c r="C86" s="8" t="s">
        <v>3376</v>
      </c>
    </row>
    <row r="87" customFormat="false" ht="15" hidden="false" customHeight="false" outlineLevel="0" collapsed="false">
      <c r="A87" s="7" t="s">
        <v>3377</v>
      </c>
      <c r="B87" s="6" t="n">
        <v>2</v>
      </c>
      <c r="C87" s="8" t="s">
        <v>3378</v>
      </c>
    </row>
    <row r="88" customFormat="false" ht="15" hidden="false" customHeight="false" outlineLevel="0" collapsed="false">
      <c r="A88" s="7" t="s">
        <v>707</v>
      </c>
      <c r="B88" s="6" t="n">
        <v>2</v>
      </c>
      <c r="C88" s="8" t="s">
        <v>3379</v>
      </c>
    </row>
    <row r="89" customFormat="false" ht="15" hidden="false" customHeight="false" outlineLevel="0" collapsed="false">
      <c r="A89" s="7" t="s">
        <v>3380</v>
      </c>
      <c r="B89" s="6" t="n">
        <v>2</v>
      </c>
      <c r="C89" s="8" t="s">
        <v>3381</v>
      </c>
    </row>
    <row r="90" customFormat="false" ht="15" hidden="false" customHeight="false" outlineLevel="0" collapsed="false">
      <c r="A90" s="7" t="s">
        <v>1940</v>
      </c>
      <c r="B90" s="6" t="n">
        <v>2</v>
      </c>
      <c r="C90" s="8" t="s">
        <v>3382</v>
      </c>
    </row>
    <row r="91" customFormat="false" ht="15" hidden="false" customHeight="false" outlineLevel="0" collapsed="false">
      <c r="A91" s="7" t="s">
        <v>1776</v>
      </c>
      <c r="B91" s="6" t="n">
        <v>2</v>
      </c>
      <c r="C91" s="8" t="s">
        <v>3383</v>
      </c>
    </row>
    <row r="92" customFormat="false" ht="15" hidden="false" customHeight="false" outlineLevel="0" collapsed="false">
      <c r="A92" s="7" t="s">
        <v>803</v>
      </c>
      <c r="B92" s="6" t="n">
        <v>2</v>
      </c>
      <c r="C92" s="8" t="s">
        <v>3384</v>
      </c>
    </row>
    <row r="93" customFormat="false" ht="15" hidden="false" customHeight="false" outlineLevel="0" collapsed="false">
      <c r="A93" s="7" t="s">
        <v>2421</v>
      </c>
      <c r="B93" s="6" t="n">
        <v>2</v>
      </c>
      <c r="C93" s="8" t="s">
        <v>3385</v>
      </c>
    </row>
    <row r="94" customFormat="false" ht="15" hidden="false" customHeight="false" outlineLevel="0" collapsed="false">
      <c r="A94" s="7" t="s">
        <v>3386</v>
      </c>
      <c r="B94" s="6" t="n">
        <v>2</v>
      </c>
      <c r="C94" s="8" t="s">
        <v>3387</v>
      </c>
    </row>
    <row r="95" customFormat="false" ht="15" hidden="false" customHeight="false" outlineLevel="0" collapsed="false">
      <c r="A95" s="7" t="s">
        <v>3388</v>
      </c>
      <c r="B95" s="6" t="n">
        <v>2</v>
      </c>
      <c r="C95" s="8" t="s">
        <v>3389</v>
      </c>
    </row>
    <row r="96" customFormat="false" ht="15" hidden="false" customHeight="false" outlineLevel="0" collapsed="false">
      <c r="A96" s="7" t="s">
        <v>629</v>
      </c>
      <c r="B96" s="6" t="n">
        <v>2</v>
      </c>
      <c r="C96" s="8" t="s">
        <v>3390</v>
      </c>
    </row>
    <row r="97" customFormat="false" ht="15" hidden="false" customHeight="false" outlineLevel="0" collapsed="false">
      <c r="A97" s="7" t="s">
        <v>1238</v>
      </c>
      <c r="B97" s="6" t="n">
        <v>2</v>
      </c>
      <c r="C97" s="8" t="s">
        <v>3391</v>
      </c>
    </row>
    <row r="98" customFormat="false" ht="15" hidden="false" customHeight="false" outlineLevel="0" collapsed="false">
      <c r="A98" s="7" t="s">
        <v>1106</v>
      </c>
      <c r="B98" s="6" t="n">
        <v>2</v>
      </c>
      <c r="C98" s="8" t="s">
        <v>3392</v>
      </c>
    </row>
    <row r="99" customFormat="false" ht="15" hidden="false" customHeight="false" outlineLevel="0" collapsed="false">
      <c r="A99" s="7" t="s">
        <v>996</v>
      </c>
      <c r="B99" s="6" t="n">
        <v>2</v>
      </c>
      <c r="C99" s="8" t="s">
        <v>3393</v>
      </c>
    </row>
    <row r="100" customFormat="false" ht="15" hidden="false" customHeight="false" outlineLevel="0" collapsed="false">
      <c r="A100" s="7" t="s">
        <v>3394</v>
      </c>
      <c r="B100" s="6" t="n">
        <v>2</v>
      </c>
      <c r="C100" s="8" t="s">
        <v>3395</v>
      </c>
    </row>
    <row r="101" customFormat="false" ht="15" hidden="false" customHeight="false" outlineLevel="0" collapsed="false">
      <c r="A101" s="7" t="s">
        <v>917</v>
      </c>
      <c r="B101" s="6" t="n">
        <v>2</v>
      </c>
      <c r="C101" s="8" t="s">
        <v>3396</v>
      </c>
    </row>
    <row r="102" customFormat="false" ht="15" hidden="false" customHeight="false" outlineLevel="0" collapsed="false">
      <c r="A102" s="7" t="s">
        <v>2349</v>
      </c>
      <c r="B102" s="6" t="n">
        <v>2</v>
      </c>
      <c r="C102" s="8" t="s">
        <v>3397</v>
      </c>
    </row>
    <row r="103" customFormat="false" ht="15" hidden="false" customHeight="false" outlineLevel="0" collapsed="false">
      <c r="A103" s="7" t="s">
        <v>1639</v>
      </c>
      <c r="B103" s="6" t="n">
        <v>2</v>
      </c>
      <c r="C103" s="8" t="s">
        <v>3398</v>
      </c>
    </row>
    <row r="104" customFormat="false" ht="15" hidden="false" customHeight="false" outlineLevel="0" collapsed="false">
      <c r="A104" s="7" t="s">
        <v>894</v>
      </c>
      <c r="B104" s="6" t="n">
        <v>2</v>
      </c>
      <c r="C104" s="8" t="s">
        <v>3399</v>
      </c>
    </row>
    <row r="105" customFormat="false" ht="15" hidden="false" customHeight="false" outlineLevel="0" collapsed="false">
      <c r="A105" s="7" t="s">
        <v>876</v>
      </c>
      <c r="B105" s="6" t="n">
        <v>2</v>
      </c>
      <c r="C105" s="8" t="s">
        <v>3400</v>
      </c>
    </row>
    <row r="106" customFormat="false" ht="15" hidden="false" customHeight="false" outlineLevel="0" collapsed="false">
      <c r="A106" s="7" t="s">
        <v>2808</v>
      </c>
      <c r="B106" s="6" t="n">
        <v>2</v>
      </c>
      <c r="C106" s="8" t="s">
        <v>3401</v>
      </c>
    </row>
    <row r="107" customFormat="false" ht="15" hidden="false" customHeight="false" outlineLevel="0" collapsed="false">
      <c r="A107" s="7" t="s">
        <v>2169</v>
      </c>
      <c r="B107" s="6" t="n">
        <v>2</v>
      </c>
      <c r="C107" s="8" t="s">
        <v>3402</v>
      </c>
    </row>
    <row r="108" customFormat="false" ht="15" hidden="false" customHeight="false" outlineLevel="0" collapsed="false">
      <c r="A108" s="7" t="s">
        <v>2635</v>
      </c>
      <c r="B108" s="6" t="n">
        <v>2</v>
      </c>
      <c r="C108" s="8" t="s">
        <v>3403</v>
      </c>
    </row>
    <row r="109" customFormat="false" ht="15" hidden="false" customHeight="false" outlineLevel="0" collapsed="false">
      <c r="A109" s="7" t="s">
        <v>3404</v>
      </c>
      <c r="B109" s="6" t="n">
        <v>2</v>
      </c>
      <c r="C109" s="8" t="s">
        <v>3405</v>
      </c>
    </row>
    <row r="110" customFormat="false" ht="15" hidden="false" customHeight="false" outlineLevel="0" collapsed="false">
      <c r="A110" s="7" t="s">
        <v>2383</v>
      </c>
      <c r="B110" s="6" t="n">
        <v>2</v>
      </c>
      <c r="C110" s="8" t="s">
        <v>3406</v>
      </c>
    </row>
    <row r="111" customFormat="false" ht="15" hidden="false" customHeight="false" outlineLevel="0" collapsed="false">
      <c r="A111" s="7" t="s">
        <v>1044</v>
      </c>
      <c r="B111" s="6" t="n">
        <v>2</v>
      </c>
      <c r="C111" s="8" t="s">
        <v>3407</v>
      </c>
    </row>
    <row r="112" customFormat="false" ht="15" hidden="false" customHeight="false" outlineLevel="0" collapsed="false">
      <c r="A112" s="7" t="s">
        <v>825</v>
      </c>
      <c r="B112" s="6" t="n">
        <v>2</v>
      </c>
      <c r="C112" s="8" t="s">
        <v>3408</v>
      </c>
    </row>
    <row r="113" customFormat="false" ht="15" hidden="false" customHeight="false" outlineLevel="0" collapsed="false">
      <c r="A113" s="7" t="s">
        <v>2301</v>
      </c>
      <c r="B113" s="6" t="n">
        <v>2</v>
      </c>
      <c r="C113" s="8" t="s">
        <v>3409</v>
      </c>
    </row>
    <row r="114" customFormat="false" ht="15" hidden="false" customHeight="false" outlineLevel="0" collapsed="false">
      <c r="A114" s="7" t="s">
        <v>2309</v>
      </c>
      <c r="B114" s="6" t="n">
        <v>2</v>
      </c>
      <c r="C114" s="8" t="s">
        <v>3410</v>
      </c>
    </row>
    <row r="115" customFormat="false" ht="15" hidden="false" customHeight="false" outlineLevel="0" collapsed="false">
      <c r="A115" s="7" t="s">
        <v>868</v>
      </c>
      <c r="B115" s="6" t="n">
        <v>2</v>
      </c>
      <c r="C115" s="8" t="s">
        <v>3411</v>
      </c>
    </row>
    <row r="116" customFormat="false" ht="15" hidden="false" customHeight="false" outlineLevel="0" collapsed="false">
      <c r="A116" s="7" t="s">
        <v>2156</v>
      </c>
      <c r="B116" s="6" t="n">
        <v>2</v>
      </c>
      <c r="C116" s="8" t="s">
        <v>3412</v>
      </c>
    </row>
    <row r="117" customFormat="false" ht="15" hidden="false" customHeight="false" outlineLevel="0" collapsed="false">
      <c r="A117" s="7" t="s">
        <v>2342</v>
      </c>
      <c r="B117" s="6" t="n">
        <v>2</v>
      </c>
      <c r="C117" s="8" t="s">
        <v>3413</v>
      </c>
    </row>
    <row r="118" customFormat="false" ht="15" hidden="false" customHeight="false" outlineLevel="0" collapsed="false">
      <c r="A118" s="7" t="s">
        <v>2322</v>
      </c>
      <c r="B118" s="6" t="n">
        <v>2</v>
      </c>
      <c r="C118" s="8" t="s">
        <v>3414</v>
      </c>
    </row>
    <row r="119" customFormat="false" ht="15" hidden="false" customHeight="false" outlineLevel="0" collapsed="false">
      <c r="A119" s="7" t="s">
        <v>1662</v>
      </c>
      <c r="B119" s="6" t="n">
        <v>2</v>
      </c>
      <c r="C119" s="8" t="s">
        <v>3415</v>
      </c>
    </row>
    <row r="120" customFormat="false" ht="15" hidden="false" customHeight="false" outlineLevel="0" collapsed="false">
      <c r="A120" s="7" t="s">
        <v>2207</v>
      </c>
      <c r="B120" s="6" t="n">
        <v>2</v>
      </c>
      <c r="C120" s="8" t="s">
        <v>3416</v>
      </c>
    </row>
    <row r="121" customFormat="false" ht="15" hidden="false" customHeight="false" outlineLevel="0" collapsed="false">
      <c r="A121" s="7" t="s">
        <v>2573</v>
      </c>
      <c r="B121" s="6" t="n">
        <v>1</v>
      </c>
      <c r="C121" s="8" t="s">
        <v>3417</v>
      </c>
    </row>
    <row r="122" customFormat="false" ht="15" hidden="false" customHeight="false" outlineLevel="0" collapsed="false">
      <c r="A122" s="7" t="s">
        <v>131</v>
      </c>
      <c r="B122" s="6" t="n">
        <v>1</v>
      </c>
      <c r="C122" s="8" t="s">
        <v>3418</v>
      </c>
    </row>
    <row r="123" customFormat="false" ht="15" hidden="false" customHeight="false" outlineLevel="0" collapsed="false">
      <c r="A123" s="7" t="s">
        <v>116</v>
      </c>
      <c r="B123" s="6" t="n">
        <v>1</v>
      </c>
      <c r="C123" s="8" t="s">
        <v>3419</v>
      </c>
    </row>
    <row r="124" customFormat="false" ht="15" hidden="false" customHeight="false" outlineLevel="0" collapsed="false">
      <c r="A124" s="7" t="s">
        <v>3420</v>
      </c>
      <c r="B124" s="6" t="n">
        <v>1</v>
      </c>
      <c r="C124" s="8" t="s">
        <v>3421</v>
      </c>
    </row>
    <row r="125" customFormat="false" ht="15" hidden="false" customHeight="false" outlineLevel="0" collapsed="false">
      <c r="A125" s="7" t="s">
        <v>164</v>
      </c>
      <c r="B125" s="6" t="n">
        <v>1</v>
      </c>
      <c r="C125" s="8" t="s">
        <v>3422</v>
      </c>
    </row>
    <row r="126" customFormat="false" ht="15" hidden="false" customHeight="false" outlineLevel="0" collapsed="false">
      <c r="A126" s="7" t="s">
        <v>73</v>
      </c>
      <c r="B126" s="6" t="n">
        <v>1</v>
      </c>
      <c r="C126" s="8" t="s">
        <v>3423</v>
      </c>
    </row>
    <row r="127" customFormat="false" ht="15" hidden="false" customHeight="false" outlineLevel="0" collapsed="false">
      <c r="A127" s="7" t="s">
        <v>1331</v>
      </c>
      <c r="B127" s="6" t="n">
        <v>1</v>
      </c>
      <c r="C127" s="8" t="s">
        <v>3424</v>
      </c>
    </row>
    <row r="128" customFormat="false" ht="15" hidden="false" customHeight="false" outlineLevel="0" collapsed="false">
      <c r="A128" s="7" t="s">
        <v>1180</v>
      </c>
      <c r="B128" s="6" t="n">
        <v>1</v>
      </c>
      <c r="C128" s="8" t="s">
        <v>3425</v>
      </c>
    </row>
    <row r="129" customFormat="false" ht="15" hidden="false" customHeight="false" outlineLevel="0" collapsed="false">
      <c r="A129" s="7" t="s">
        <v>1817</v>
      </c>
      <c r="B129" s="6" t="n">
        <v>1</v>
      </c>
      <c r="C129" s="8" t="s">
        <v>3426</v>
      </c>
    </row>
    <row r="130" customFormat="false" ht="15" hidden="false" customHeight="false" outlineLevel="0" collapsed="false">
      <c r="A130" s="7" t="s">
        <v>2763</v>
      </c>
      <c r="B130" s="6" t="n">
        <v>1</v>
      </c>
      <c r="C130" s="8" t="s">
        <v>3427</v>
      </c>
    </row>
    <row r="131" customFormat="false" ht="15" hidden="false" customHeight="false" outlineLevel="0" collapsed="false">
      <c r="A131" s="7" t="s">
        <v>1063</v>
      </c>
      <c r="B131" s="6" t="n">
        <v>1</v>
      </c>
      <c r="C131" s="8" t="s">
        <v>3428</v>
      </c>
    </row>
    <row r="132" customFormat="false" ht="15" hidden="false" customHeight="false" outlineLevel="0" collapsed="false">
      <c r="A132" s="7" t="s">
        <v>2743</v>
      </c>
      <c r="B132" s="6" t="n">
        <v>1</v>
      </c>
      <c r="C132" s="8" t="s">
        <v>3429</v>
      </c>
    </row>
    <row r="133" customFormat="false" ht="15" hidden="false" customHeight="false" outlineLevel="0" collapsed="false">
      <c r="A133" s="7" t="s">
        <v>3430</v>
      </c>
      <c r="B133" s="6" t="n">
        <v>1</v>
      </c>
      <c r="C133" s="8" t="s">
        <v>3431</v>
      </c>
    </row>
    <row r="134" customFormat="false" ht="15" hidden="false" customHeight="false" outlineLevel="0" collapsed="false">
      <c r="A134" s="7" t="s">
        <v>1188</v>
      </c>
      <c r="B134" s="6" t="n">
        <v>1</v>
      </c>
      <c r="C134" s="8" t="s">
        <v>3432</v>
      </c>
    </row>
    <row r="135" customFormat="false" ht="15" hidden="false" customHeight="false" outlineLevel="0" collapsed="false">
      <c r="A135" s="7" t="s">
        <v>2489</v>
      </c>
      <c r="B135" s="6" t="n">
        <v>1</v>
      </c>
      <c r="C135" s="8" t="s">
        <v>3433</v>
      </c>
    </row>
    <row r="136" customFormat="false" ht="15" hidden="false" customHeight="false" outlineLevel="0" collapsed="false">
      <c r="A136" s="7" t="s">
        <v>2375</v>
      </c>
      <c r="B136" s="6" t="n">
        <v>1</v>
      </c>
      <c r="C136" s="8" t="s">
        <v>3434</v>
      </c>
    </row>
    <row r="137" customFormat="false" ht="15" hidden="false" customHeight="false" outlineLevel="0" collapsed="false">
      <c r="A137" s="7" t="s">
        <v>2892</v>
      </c>
      <c r="B137" s="6" t="n">
        <v>1</v>
      </c>
      <c r="C137" s="8" t="s">
        <v>3435</v>
      </c>
    </row>
    <row r="138" customFormat="false" ht="15" hidden="false" customHeight="false" outlineLevel="0" collapsed="false">
      <c r="A138" s="7" t="s">
        <v>2854</v>
      </c>
      <c r="B138" s="6" t="n">
        <v>1</v>
      </c>
      <c r="C138" s="8" t="s">
        <v>3227</v>
      </c>
    </row>
    <row r="139" customFormat="false" ht="15" hidden="false" customHeight="false" outlineLevel="0" collapsed="false">
      <c r="A139" s="7" t="s">
        <v>2675</v>
      </c>
      <c r="B139" s="6" t="n">
        <v>1</v>
      </c>
      <c r="C139" s="8" t="s">
        <v>3436</v>
      </c>
    </row>
    <row r="140" customFormat="false" ht="15" hidden="false" customHeight="false" outlineLevel="0" collapsed="false">
      <c r="A140" s="7" t="s">
        <v>2144</v>
      </c>
      <c r="B140" s="6" t="n">
        <v>1</v>
      </c>
      <c r="C140" s="8" t="s">
        <v>3437</v>
      </c>
    </row>
    <row r="141" customFormat="false" ht="15" hidden="false" customHeight="false" outlineLevel="0" collapsed="false">
      <c r="A141" s="7" t="s">
        <v>3438</v>
      </c>
      <c r="B141" s="6" t="n">
        <v>1</v>
      </c>
      <c r="C141" s="8" t="s">
        <v>3439</v>
      </c>
    </row>
    <row r="142" customFormat="false" ht="15" hidden="false" customHeight="false" outlineLevel="0" collapsed="false">
      <c r="A142" s="7" t="s">
        <v>2510</v>
      </c>
      <c r="B142" s="6" t="n">
        <v>1</v>
      </c>
      <c r="C142" s="8" t="s">
        <v>3440</v>
      </c>
    </row>
    <row r="143" customFormat="false" ht="15" hidden="false" customHeight="false" outlineLevel="0" collapsed="false">
      <c r="A143" s="7" t="s">
        <v>2521</v>
      </c>
      <c r="B143" s="6" t="n">
        <v>1</v>
      </c>
      <c r="C143" s="8" t="s">
        <v>3441</v>
      </c>
    </row>
    <row r="144" customFormat="false" ht="15" hidden="false" customHeight="false" outlineLevel="0" collapsed="false">
      <c r="A144" s="7" t="s">
        <v>3060</v>
      </c>
      <c r="B144" s="6" t="n">
        <v>1</v>
      </c>
      <c r="C144" s="8" t="s">
        <v>3442</v>
      </c>
    </row>
    <row r="145" customFormat="false" ht="15" hidden="false" customHeight="false" outlineLevel="0" collapsed="false">
      <c r="A145" s="7" t="s">
        <v>3443</v>
      </c>
      <c r="B145" s="6" t="n">
        <v>1</v>
      </c>
      <c r="C145" s="8" t="s">
        <v>3444</v>
      </c>
    </row>
    <row r="146" customFormat="false" ht="15" hidden="false" customHeight="false" outlineLevel="0" collapsed="false">
      <c r="A146" s="7" t="s">
        <v>2821</v>
      </c>
      <c r="B146" s="6" t="n">
        <v>1</v>
      </c>
      <c r="C146" s="8" t="s">
        <v>3445</v>
      </c>
    </row>
    <row r="147" customFormat="false" ht="15" hidden="false" customHeight="false" outlineLevel="0" collapsed="false">
      <c r="A147" s="7" t="s">
        <v>3446</v>
      </c>
      <c r="B147" s="6" t="n">
        <v>1</v>
      </c>
      <c r="C147" s="8" t="s">
        <v>3447</v>
      </c>
    </row>
    <row r="148" customFormat="false" ht="15" hidden="false" customHeight="false" outlineLevel="0" collapsed="false">
      <c r="A148" s="7" t="s">
        <v>2469</v>
      </c>
      <c r="B148" s="6" t="n">
        <v>1</v>
      </c>
      <c r="C148" s="8" t="s">
        <v>3448</v>
      </c>
    </row>
    <row r="149" customFormat="false" ht="15" hidden="false" customHeight="false" outlineLevel="0" collapsed="false">
      <c r="A149" s="7" t="s">
        <v>1612</v>
      </c>
      <c r="B149" s="6" t="n">
        <v>1</v>
      </c>
      <c r="C149" s="8" t="s">
        <v>3449</v>
      </c>
    </row>
    <row r="150" customFormat="false" ht="15" hidden="false" customHeight="false" outlineLevel="0" collapsed="false">
      <c r="A150" s="7" t="s">
        <v>2610</v>
      </c>
      <c r="B150" s="6" t="n">
        <v>1</v>
      </c>
      <c r="C150" s="8" t="s">
        <v>3450</v>
      </c>
    </row>
    <row r="151" customFormat="false" ht="15" hidden="false" customHeight="false" outlineLevel="0" collapsed="false">
      <c r="A151" s="7" t="s">
        <v>2517</v>
      </c>
      <c r="B151" s="6" t="n">
        <v>1</v>
      </c>
      <c r="C151" s="8" t="s">
        <v>3451</v>
      </c>
    </row>
    <row r="152" customFormat="false" ht="15" hidden="false" customHeight="false" outlineLevel="0" collapsed="false">
      <c r="A152" s="7" t="s">
        <v>770</v>
      </c>
      <c r="B152" s="6" t="n">
        <v>1</v>
      </c>
      <c r="C152" s="8" t="s">
        <v>3452</v>
      </c>
    </row>
    <row r="153" customFormat="false" ht="15" hidden="false" customHeight="false" outlineLevel="0" collapsed="false">
      <c r="A153" s="7" t="s">
        <v>1773</v>
      </c>
      <c r="B153" s="6" t="n">
        <v>1</v>
      </c>
      <c r="C153" s="8" t="s">
        <v>3453</v>
      </c>
    </row>
    <row r="154" customFormat="false" ht="15" hidden="false" customHeight="false" outlineLevel="0" collapsed="false">
      <c r="A154" s="7" t="s">
        <v>3454</v>
      </c>
      <c r="B154" s="6" t="n">
        <v>1</v>
      </c>
      <c r="C154" s="8" t="s">
        <v>3455</v>
      </c>
    </row>
    <row r="155" customFormat="false" ht="15" hidden="false" customHeight="false" outlineLevel="0" collapsed="false">
      <c r="A155" s="7" t="s">
        <v>3456</v>
      </c>
      <c r="B155" s="6" t="n">
        <v>1</v>
      </c>
      <c r="C155" s="8" t="s">
        <v>3457</v>
      </c>
    </row>
    <row r="156" customFormat="false" ht="15" hidden="false" customHeight="false" outlineLevel="0" collapsed="false">
      <c r="A156" s="7" t="s">
        <v>1748</v>
      </c>
      <c r="B156" s="6" t="n">
        <v>1</v>
      </c>
      <c r="C156" s="8" t="s">
        <v>3458</v>
      </c>
    </row>
    <row r="157" customFormat="false" ht="15" hidden="false" customHeight="false" outlineLevel="0" collapsed="false">
      <c r="A157" s="7" t="s">
        <v>3459</v>
      </c>
      <c r="B157" s="6" t="n">
        <v>1</v>
      </c>
      <c r="C157" s="8" t="s">
        <v>3460</v>
      </c>
    </row>
    <row r="158" customFormat="false" ht="15" hidden="false" customHeight="false" outlineLevel="0" collapsed="false">
      <c r="A158" s="7" t="s">
        <v>592</v>
      </c>
      <c r="B158" s="6" t="n">
        <v>1</v>
      </c>
      <c r="C158" s="8" t="s">
        <v>3461</v>
      </c>
    </row>
    <row r="159" customFormat="false" ht="15" hidden="false" customHeight="false" outlineLevel="0" collapsed="false">
      <c r="A159" s="7" t="s">
        <v>1920</v>
      </c>
      <c r="B159" s="6" t="n">
        <v>1</v>
      </c>
      <c r="C159" s="8" t="s">
        <v>3462</v>
      </c>
    </row>
    <row r="160" customFormat="false" ht="15" hidden="false" customHeight="false" outlineLevel="0" collapsed="false">
      <c r="A160" s="7" t="s">
        <v>2788</v>
      </c>
      <c r="B160" s="6" t="n">
        <v>1</v>
      </c>
      <c r="C160" s="8" t="s">
        <v>3463</v>
      </c>
    </row>
    <row r="161" customFormat="false" ht="15" hidden="false" customHeight="false" outlineLevel="0" collapsed="false">
      <c r="A161" s="7" t="s">
        <v>2739</v>
      </c>
      <c r="B161" s="6" t="n">
        <v>1</v>
      </c>
      <c r="C161" s="8" t="s">
        <v>3464</v>
      </c>
    </row>
    <row r="162" customFormat="false" ht="15" hidden="false" customHeight="false" outlineLevel="0" collapsed="false">
      <c r="A162" s="7" t="s">
        <v>3465</v>
      </c>
      <c r="B162" s="6" t="n">
        <v>1</v>
      </c>
      <c r="C162" s="8" t="s">
        <v>3466</v>
      </c>
    </row>
    <row r="163" customFormat="false" ht="15" hidden="false" customHeight="false" outlineLevel="0" collapsed="false">
      <c r="A163" s="7" t="s">
        <v>1165</v>
      </c>
      <c r="B163" s="6" t="n">
        <v>1</v>
      </c>
      <c r="C163" s="8" t="s">
        <v>3467</v>
      </c>
    </row>
    <row r="164" customFormat="false" ht="15" hidden="false" customHeight="false" outlineLevel="0" collapsed="false">
      <c r="A164" s="7" t="s">
        <v>20</v>
      </c>
      <c r="B164" s="6" t="n">
        <v>1</v>
      </c>
      <c r="C164" s="8" t="s">
        <v>3468</v>
      </c>
    </row>
    <row r="165" customFormat="false" ht="15" hidden="false" customHeight="false" outlineLevel="0" collapsed="false">
      <c r="A165" s="7" t="s">
        <v>374</v>
      </c>
      <c r="B165" s="6" t="n">
        <v>1</v>
      </c>
      <c r="C165" s="8" t="s">
        <v>3469</v>
      </c>
    </row>
    <row r="166" customFormat="false" ht="15" hidden="false" customHeight="false" outlineLevel="0" collapsed="false">
      <c r="A166" s="7" t="s">
        <v>3470</v>
      </c>
      <c r="B166" s="6" t="n">
        <v>1</v>
      </c>
      <c r="C166" s="8" t="s">
        <v>3471</v>
      </c>
    </row>
    <row r="167" customFormat="false" ht="15" hidden="false" customHeight="false" outlineLevel="0" collapsed="false">
      <c r="A167" s="7" t="s">
        <v>2964</v>
      </c>
      <c r="B167" s="6" t="n">
        <v>1</v>
      </c>
      <c r="C167" s="8" t="s">
        <v>3472</v>
      </c>
    </row>
    <row r="168" customFormat="false" ht="15" hidden="false" customHeight="false" outlineLevel="0" collapsed="false">
      <c r="A168" s="7" t="s">
        <v>3473</v>
      </c>
      <c r="B168" s="6" t="n">
        <v>1</v>
      </c>
      <c r="C168" s="8" t="s">
        <v>3474</v>
      </c>
    </row>
    <row r="169" customFormat="false" ht="15" hidden="false" customHeight="false" outlineLevel="0" collapsed="false">
      <c r="A169" s="7" t="s">
        <v>1089</v>
      </c>
      <c r="B169" s="6" t="n">
        <v>1</v>
      </c>
      <c r="C169" s="8" t="s">
        <v>3475</v>
      </c>
    </row>
    <row r="170" customFormat="false" ht="15" hidden="false" customHeight="false" outlineLevel="0" collapsed="false">
      <c r="A170" s="7" t="s">
        <v>1505</v>
      </c>
      <c r="B170" s="6" t="n">
        <v>1</v>
      </c>
      <c r="C170" s="8" t="s">
        <v>3476</v>
      </c>
    </row>
    <row r="171" customFormat="false" ht="15" hidden="false" customHeight="false" outlineLevel="0" collapsed="false">
      <c r="A171" s="7" t="s">
        <v>2085</v>
      </c>
      <c r="B171" s="6" t="n">
        <v>1</v>
      </c>
      <c r="C171" s="8" t="s">
        <v>3477</v>
      </c>
    </row>
    <row r="172" customFormat="false" ht="15" hidden="false" customHeight="false" outlineLevel="0" collapsed="false">
      <c r="A172" s="7" t="s">
        <v>2942</v>
      </c>
      <c r="B172" s="6" t="n">
        <v>1</v>
      </c>
      <c r="C172" s="8" t="s">
        <v>3478</v>
      </c>
    </row>
    <row r="173" customFormat="false" ht="15" hidden="false" customHeight="false" outlineLevel="0" collapsed="false">
      <c r="A173" s="7" t="s">
        <v>1914</v>
      </c>
      <c r="B173" s="6" t="n">
        <v>1</v>
      </c>
      <c r="C173" s="8" t="s">
        <v>3479</v>
      </c>
    </row>
    <row r="174" customFormat="false" ht="15" hidden="false" customHeight="false" outlineLevel="0" collapsed="false">
      <c r="A174" s="7" t="s">
        <v>3480</v>
      </c>
      <c r="B174" s="6" t="n">
        <v>1</v>
      </c>
      <c r="C174" s="8" t="s">
        <v>3481</v>
      </c>
    </row>
    <row r="175" customFormat="false" ht="15" hidden="false" customHeight="false" outlineLevel="0" collapsed="false">
      <c r="A175" s="7" t="s">
        <v>1846</v>
      </c>
      <c r="B175" s="6" t="n">
        <v>1</v>
      </c>
      <c r="C175" s="8" t="s">
        <v>3482</v>
      </c>
    </row>
    <row r="176" customFormat="false" ht="15" hidden="false" customHeight="false" outlineLevel="0" collapsed="false">
      <c r="A176" s="7" t="s">
        <v>1629</v>
      </c>
      <c r="B176" s="6" t="n">
        <v>1</v>
      </c>
      <c r="C176" s="8" t="s">
        <v>3483</v>
      </c>
    </row>
    <row r="177" customFormat="false" ht="15" hidden="false" customHeight="false" outlineLevel="0" collapsed="false">
      <c r="A177" s="7" t="s">
        <v>2928</v>
      </c>
      <c r="B177" s="6" t="n">
        <v>1</v>
      </c>
      <c r="C177" s="8" t="s">
        <v>3484</v>
      </c>
    </row>
    <row r="178" customFormat="false" ht="15" hidden="false" customHeight="false" outlineLevel="0" collapsed="false">
      <c r="A178" s="7" t="s">
        <v>1633</v>
      </c>
      <c r="B178" s="6" t="n">
        <v>1</v>
      </c>
      <c r="C178" s="8" t="s">
        <v>3485</v>
      </c>
    </row>
    <row r="179" customFormat="false" ht="15" hidden="false" customHeight="false" outlineLevel="0" collapsed="false">
      <c r="A179" s="7" t="s">
        <v>2596</v>
      </c>
      <c r="B179" s="6" t="n">
        <v>1</v>
      </c>
      <c r="C179" s="8" t="s">
        <v>3486</v>
      </c>
    </row>
    <row r="180" customFormat="false" ht="15" hidden="false" customHeight="false" outlineLevel="0" collapsed="false">
      <c r="A180" s="7" t="s">
        <v>3487</v>
      </c>
      <c r="B180" s="6" t="n">
        <v>1</v>
      </c>
      <c r="C180" s="8" t="s">
        <v>3488</v>
      </c>
    </row>
    <row r="181" customFormat="false" ht="15" hidden="false" customHeight="false" outlineLevel="0" collapsed="false">
      <c r="A181" s="7" t="s">
        <v>1035</v>
      </c>
      <c r="B181" s="6" t="n">
        <v>1</v>
      </c>
      <c r="C181" s="8" t="s">
        <v>3489</v>
      </c>
    </row>
    <row r="182" customFormat="false" ht="15" hidden="false" customHeight="false" outlineLevel="0" collapsed="false">
      <c r="A182" s="7" t="s">
        <v>2879</v>
      </c>
      <c r="B182" s="6" t="n">
        <v>1</v>
      </c>
      <c r="C182" s="8" t="s">
        <v>3490</v>
      </c>
    </row>
    <row r="183" customFormat="false" ht="15" hidden="false" customHeight="false" outlineLevel="0" collapsed="false">
      <c r="A183" s="7" t="s">
        <v>2698</v>
      </c>
      <c r="B183" s="6" t="n">
        <v>1</v>
      </c>
      <c r="C183" s="8" t="s">
        <v>3491</v>
      </c>
    </row>
    <row r="184" customFormat="false" ht="15" hidden="false" customHeight="false" outlineLevel="0" collapsed="false">
      <c r="A184" s="7" t="s">
        <v>2165</v>
      </c>
      <c r="B184" s="6" t="n">
        <v>1</v>
      </c>
      <c r="C184" s="8" t="s">
        <v>3492</v>
      </c>
    </row>
    <row r="185" customFormat="false" ht="15" hidden="false" customHeight="false" outlineLevel="0" collapsed="false">
      <c r="A185" s="7" t="s">
        <v>3493</v>
      </c>
      <c r="B185" s="6" t="n">
        <v>1</v>
      </c>
      <c r="C185" s="8" t="s">
        <v>3494</v>
      </c>
    </row>
    <row r="186" customFormat="false" ht="15" hidden="false" customHeight="false" outlineLevel="0" collapsed="false">
      <c r="A186" s="7" t="s">
        <v>1144</v>
      </c>
      <c r="B186" s="6" t="n">
        <v>1</v>
      </c>
      <c r="C186" s="8" t="s">
        <v>3495</v>
      </c>
    </row>
    <row r="187" customFormat="false" ht="15" hidden="false" customHeight="false" outlineLevel="0" collapsed="false">
      <c r="A187" s="7" t="s">
        <v>1720</v>
      </c>
      <c r="B187" s="6" t="n">
        <v>1</v>
      </c>
      <c r="C187" s="8" t="s">
        <v>3496</v>
      </c>
    </row>
    <row r="188" customFormat="false" ht="15" hidden="false" customHeight="false" outlineLevel="0" collapsed="false">
      <c r="A188" s="7" t="s">
        <v>1070</v>
      </c>
      <c r="B188" s="6" t="n">
        <v>1</v>
      </c>
      <c r="C188" s="8" t="s">
        <v>3195</v>
      </c>
    </row>
    <row r="189" customFormat="false" ht="15" hidden="false" customHeight="false" outlineLevel="0" collapsed="false">
      <c r="A189" s="7" t="s">
        <v>1345</v>
      </c>
      <c r="B189" s="6" t="n">
        <v>1</v>
      </c>
      <c r="C189" s="8" t="s">
        <v>3497</v>
      </c>
    </row>
    <row r="190" customFormat="false" ht="15" hidden="false" customHeight="false" outlineLevel="0" collapsed="false">
      <c r="A190" s="7" t="s">
        <v>11</v>
      </c>
      <c r="B190" s="6" t="n">
        <v>1</v>
      </c>
      <c r="C190" s="8" t="s">
        <v>14</v>
      </c>
    </row>
    <row r="191" customFormat="false" ht="15" hidden="false" customHeight="false" outlineLevel="0" collapsed="false">
      <c r="A191" s="7" t="s">
        <v>1285</v>
      </c>
      <c r="B191" s="6" t="n">
        <v>1</v>
      </c>
      <c r="C191" s="8" t="s">
        <v>3498</v>
      </c>
    </row>
    <row r="192" customFormat="false" ht="15" hidden="false" customHeight="false" outlineLevel="0" collapsed="false">
      <c r="A192" s="7" t="s">
        <v>761</v>
      </c>
      <c r="B192" s="6" t="n">
        <v>1</v>
      </c>
      <c r="C192" s="8" t="s">
        <v>3499</v>
      </c>
    </row>
    <row r="193" customFormat="false" ht="15" hidden="false" customHeight="false" outlineLevel="0" collapsed="false">
      <c r="A193" s="7" t="s">
        <v>222</v>
      </c>
      <c r="B193" s="6" t="n">
        <v>1</v>
      </c>
      <c r="C193" s="8" t="s">
        <v>3500</v>
      </c>
    </row>
    <row r="194" customFormat="false" ht="15" hidden="false" customHeight="false" outlineLevel="0" collapsed="false">
      <c r="A194" s="7" t="s">
        <v>1495</v>
      </c>
      <c r="B194" s="6" t="n">
        <v>1</v>
      </c>
      <c r="C194" s="8" t="s">
        <v>3501</v>
      </c>
    </row>
    <row r="195" customFormat="false" ht="15" hidden="false" customHeight="false" outlineLevel="0" collapsed="false">
      <c r="A195" s="7" t="s">
        <v>1352</v>
      </c>
      <c r="B195" s="6" t="n">
        <v>1</v>
      </c>
      <c r="C195" s="8" t="s">
        <v>3502</v>
      </c>
    </row>
    <row r="196" customFormat="false" ht="15" hidden="false" customHeight="false" outlineLevel="0" collapsed="false">
      <c r="A196" s="7" t="s">
        <v>2260</v>
      </c>
      <c r="B196" s="6" t="n">
        <v>1</v>
      </c>
      <c r="C196" s="8" t="s">
        <v>3503</v>
      </c>
    </row>
    <row r="197" customFormat="false" ht="15" hidden="false" customHeight="false" outlineLevel="0" collapsed="false">
      <c r="A197" s="7" t="s">
        <v>3504</v>
      </c>
      <c r="B197" s="6" t="n">
        <v>1</v>
      </c>
      <c r="C197" s="8" t="s">
        <v>3505</v>
      </c>
    </row>
    <row r="198" customFormat="false" ht="15" hidden="false" customHeight="false" outlineLevel="0" collapsed="false">
      <c r="A198" s="7" t="s">
        <v>717</v>
      </c>
      <c r="B198" s="6" t="n">
        <v>1</v>
      </c>
      <c r="C198" s="8" t="s">
        <v>3506</v>
      </c>
    </row>
    <row r="199" customFormat="false" ht="15" hidden="false" customHeight="false" outlineLevel="0" collapsed="false">
      <c r="A199" s="7" t="s">
        <v>700</v>
      </c>
      <c r="B199" s="6" t="n">
        <v>1</v>
      </c>
      <c r="C199" s="8" t="s">
        <v>3507</v>
      </c>
    </row>
    <row r="200" customFormat="false" ht="15" hidden="false" customHeight="false" outlineLevel="0" collapsed="false">
      <c r="A200" s="7" t="s">
        <v>3104</v>
      </c>
      <c r="B200" s="6" t="n">
        <v>1</v>
      </c>
      <c r="C200" s="8" t="s">
        <v>3508</v>
      </c>
    </row>
    <row r="201" customFormat="false" ht="15" hidden="false" customHeight="false" outlineLevel="0" collapsed="false">
      <c r="A201" s="7" t="s">
        <v>3509</v>
      </c>
      <c r="B201" s="6" t="n">
        <v>1</v>
      </c>
      <c r="C201" s="8" t="s">
        <v>3510</v>
      </c>
    </row>
    <row r="202" customFormat="false" ht="15" hidden="false" customHeight="false" outlineLevel="0" collapsed="false">
      <c r="A202" s="7" t="s">
        <v>733</v>
      </c>
      <c r="B202" s="6" t="n">
        <v>1</v>
      </c>
      <c r="C202" s="8" t="s">
        <v>3511</v>
      </c>
    </row>
    <row r="203" customFormat="false" ht="15" hidden="false" customHeight="false" outlineLevel="0" collapsed="false">
      <c r="A203" s="7" t="s">
        <v>1895</v>
      </c>
      <c r="B203" s="6" t="n">
        <v>1</v>
      </c>
      <c r="C203" s="8" t="s">
        <v>3512</v>
      </c>
    </row>
    <row r="204" customFormat="false" ht="15" hidden="false" customHeight="false" outlineLevel="0" collapsed="false">
      <c r="A204" s="7" t="s">
        <v>1760</v>
      </c>
      <c r="B204" s="6" t="n">
        <v>1</v>
      </c>
      <c r="C204" s="8" t="s">
        <v>3513</v>
      </c>
    </row>
    <row r="205" customFormat="false" ht="15" hidden="false" customHeight="false" outlineLevel="0" collapsed="false">
      <c r="A205" s="7" t="s">
        <v>1917</v>
      </c>
      <c r="B205" s="6" t="n">
        <v>1</v>
      </c>
      <c r="C205" s="8" t="s">
        <v>3514</v>
      </c>
    </row>
    <row r="206" customFormat="false" ht="15" hidden="false" customHeight="false" outlineLevel="0" collapsed="false">
      <c r="A206" s="7" t="s">
        <v>3515</v>
      </c>
      <c r="B206" s="6" t="n">
        <v>1</v>
      </c>
      <c r="C206" s="8" t="s">
        <v>3447</v>
      </c>
    </row>
    <row r="207" customFormat="false" ht="15" hidden="false" customHeight="false" outlineLevel="0" collapsed="false">
      <c r="A207" s="7" t="s">
        <v>3516</v>
      </c>
      <c r="B207" s="6" t="n">
        <v>1</v>
      </c>
      <c r="C207" s="8" t="s">
        <v>3517</v>
      </c>
    </row>
    <row r="208" customFormat="false" ht="15" hidden="false" customHeight="false" outlineLevel="0" collapsed="false">
      <c r="A208" s="7" t="s">
        <v>784</v>
      </c>
      <c r="B208" s="6" t="n">
        <v>1</v>
      </c>
      <c r="C208" s="8" t="s">
        <v>3518</v>
      </c>
    </row>
    <row r="209" customFormat="false" ht="15" hidden="false" customHeight="false" outlineLevel="0" collapsed="false">
      <c r="A209" s="7" t="s">
        <v>605</v>
      </c>
      <c r="B209" s="6" t="n">
        <v>1</v>
      </c>
      <c r="C209" s="8" t="s">
        <v>3519</v>
      </c>
    </row>
    <row r="210" customFormat="false" ht="15" hidden="false" customHeight="false" outlineLevel="0" collapsed="false">
      <c r="A210" s="7" t="s">
        <v>3520</v>
      </c>
      <c r="B210" s="6" t="n">
        <v>1</v>
      </c>
      <c r="C210" s="8" t="s">
        <v>3521</v>
      </c>
    </row>
    <row r="211" customFormat="false" ht="15" hidden="false" customHeight="false" outlineLevel="0" collapsed="false">
      <c r="A211" s="7" t="s">
        <v>3522</v>
      </c>
      <c r="B211" s="6" t="n">
        <v>1</v>
      </c>
      <c r="C211" s="8" t="s">
        <v>3523</v>
      </c>
    </row>
    <row r="212" customFormat="false" ht="15" hidden="false" customHeight="false" outlineLevel="0" collapsed="false">
      <c r="A212" s="7" t="s">
        <v>42</v>
      </c>
      <c r="B212" s="6" t="n">
        <v>1</v>
      </c>
      <c r="C212" s="8" t="s">
        <v>3524</v>
      </c>
    </row>
    <row r="213" customFormat="false" ht="15" hidden="false" customHeight="false" outlineLevel="0" collapsed="false">
      <c r="A213" s="7" t="s">
        <v>3052</v>
      </c>
      <c r="B213" s="6" t="n">
        <v>1</v>
      </c>
      <c r="C213" s="8" t="s">
        <v>3525</v>
      </c>
    </row>
    <row r="214" customFormat="false" ht="15" hidden="false" customHeight="false" outlineLevel="0" collapsed="false">
      <c r="A214" s="7" t="s">
        <v>2989</v>
      </c>
      <c r="B214" s="6" t="n">
        <v>1</v>
      </c>
      <c r="C214" s="8" t="s">
        <v>3526</v>
      </c>
    </row>
    <row r="215" customFormat="false" ht="15" hidden="false" customHeight="false" outlineLevel="0" collapsed="false">
      <c r="A215" s="7" t="s">
        <v>3021</v>
      </c>
      <c r="B215" s="6" t="n">
        <v>1</v>
      </c>
      <c r="C215" s="8" t="s">
        <v>3527</v>
      </c>
    </row>
    <row r="216" customFormat="false" ht="15" hidden="false" customHeight="false" outlineLevel="0" collapsed="false">
      <c r="A216" s="7" t="s">
        <v>2998</v>
      </c>
      <c r="B216" s="6" t="n">
        <v>1</v>
      </c>
      <c r="C216" s="8" t="s">
        <v>3528</v>
      </c>
    </row>
    <row r="217" customFormat="false" ht="15" hidden="false" customHeight="false" outlineLevel="0" collapsed="false">
      <c r="A217" s="7" t="s">
        <v>3013</v>
      </c>
      <c r="B217" s="6" t="n">
        <v>1</v>
      </c>
      <c r="C217" s="8" t="s">
        <v>3529</v>
      </c>
    </row>
    <row r="218" customFormat="false" ht="15" hidden="false" customHeight="false" outlineLevel="0" collapsed="false">
      <c r="A218" s="7" t="s">
        <v>3006</v>
      </c>
      <c r="B218" s="6" t="n">
        <v>1</v>
      </c>
      <c r="C218" s="8" t="s">
        <v>3530</v>
      </c>
    </row>
    <row r="219" customFormat="false" ht="15" hidden="false" customHeight="false" outlineLevel="0" collapsed="false">
      <c r="A219" s="7" t="s">
        <v>2995</v>
      </c>
      <c r="B219" s="6" t="n">
        <v>1</v>
      </c>
      <c r="C219" s="8" t="s">
        <v>3531</v>
      </c>
    </row>
    <row r="220" customFormat="false" ht="15" hidden="false" customHeight="false" outlineLevel="0" collapsed="false">
      <c r="A220" s="7" t="s">
        <v>3002</v>
      </c>
      <c r="B220" s="6" t="n">
        <v>1</v>
      </c>
      <c r="C220" s="8" t="s">
        <v>3532</v>
      </c>
    </row>
    <row r="221" customFormat="false" ht="15" hidden="false" customHeight="false" outlineLevel="0" collapsed="false">
      <c r="A221" s="7" t="s">
        <v>3038</v>
      </c>
      <c r="B221" s="6" t="n">
        <v>1</v>
      </c>
      <c r="C221" s="8" t="s">
        <v>3533</v>
      </c>
    </row>
    <row r="222" customFormat="false" ht="15" hidden="false" customHeight="false" outlineLevel="0" collapsed="false">
      <c r="A222" s="7" t="s">
        <v>2297</v>
      </c>
      <c r="B222" s="6" t="n">
        <v>1</v>
      </c>
      <c r="C222" s="8" t="s">
        <v>3534</v>
      </c>
    </row>
    <row r="223" customFormat="false" ht="15" hidden="false" customHeight="false" outlineLevel="0" collapsed="false">
      <c r="A223" s="7" t="s">
        <v>2544</v>
      </c>
      <c r="B223" s="6" t="n">
        <v>1</v>
      </c>
      <c r="C223" s="8" t="s">
        <v>3535</v>
      </c>
    </row>
    <row r="224" customFormat="false" ht="15" hidden="false" customHeight="false" outlineLevel="0" collapsed="false">
      <c r="A224" s="7" t="s">
        <v>3536</v>
      </c>
      <c r="B224" s="6" t="n">
        <v>1</v>
      </c>
      <c r="C224" s="8" t="s">
        <v>3537</v>
      </c>
    </row>
    <row r="225" customFormat="false" ht="15" hidden="false" customHeight="false" outlineLevel="0" collapsed="false">
      <c r="A225" s="7" t="s">
        <v>3538</v>
      </c>
      <c r="B225" s="6" t="n">
        <v>1</v>
      </c>
      <c r="C225" s="8" t="s">
        <v>3539</v>
      </c>
    </row>
    <row r="226" customFormat="false" ht="15" hidden="false" customHeight="false" outlineLevel="0" collapsed="false">
      <c r="A226" s="7" t="s">
        <v>398</v>
      </c>
      <c r="B226" s="6" t="n">
        <v>1</v>
      </c>
      <c r="C226" s="8" t="s">
        <v>3540</v>
      </c>
    </row>
    <row r="227" customFormat="false" ht="15" hidden="false" customHeight="false" outlineLevel="0" collapsed="false">
      <c r="A227" s="7" t="s">
        <v>1013</v>
      </c>
      <c r="B227" s="6" t="n">
        <v>1</v>
      </c>
      <c r="C227" s="8" t="s">
        <v>3541</v>
      </c>
    </row>
    <row r="228" customFormat="false" ht="15" hidden="false" customHeight="false" outlineLevel="0" collapsed="false">
      <c r="A228" s="7" t="s">
        <v>3542</v>
      </c>
      <c r="B228" s="6" t="n">
        <v>1</v>
      </c>
      <c r="C228" s="8" t="s">
        <v>3543</v>
      </c>
    </row>
    <row r="229" customFormat="false" ht="15" hidden="false" customHeight="false" outlineLevel="0" collapsed="false">
      <c r="A229" s="7" t="s">
        <v>3160</v>
      </c>
      <c r="B229" s="6" t="n">
        <v>1</v>
      </c>
      <c r="C229" s="8" t="s">
        <v>3544</v>
      </c>
    </row>
    <row r="230" customFormat="false" ht="15" hidden="false" customHeight="false" outlineLevel="0" collapsed="false">
      <c r="A230" s="7" t="s">
        <v>2107</v>
      </c>
      <c r="B230" s="6" t="n">
        <v>1</v>
      </c>
      <c r="C230" s="8" t="s">
        <v>3545</v>
      </c>
    </row>
    <row r="231" customFormat="false" ht="15" hidden="false" customHeight="false" outlineLevel="0" collapsed="false">
      <c r="A231" s="7" t="s">
        <v>610</v>
      </c>
      <c r="B231" s="6" t="n">
        <v>1</v>
      </c>
      <c r="C231" s="8" t="s">
        <v>3546</v>
      </c>
    </row>
    <row r="232" customFormat="false" ht="15" hidden="false" customHeight="false" outlineLevel="0" collapsed="false">
      <c r="A232" s="7" t="s">
        <v>1655</v>
      </c>
      <c r="B232" s="6" t="n">
        <v>1</v>
      </c>
      <c r="C232" s="8" t="s">
        <v>3547</v>
      </c>
    </row>
    <row r="233" customFormat="false" ht="15" hidden="false" customHeight="false" outlineLevel="0" collapsed="false">
      <c r="A233" s="7" t="s">
        <v>714</v>
      </c>
      <c r="B233" s="6" t="n">
        <v>1</v>
      </c>
      <c r="C233" s="8" t="s">
        <v>3548</v>
      </c>
    </row>
    <row r="234" customFormat="false" ht="15" hidden="false" customHeight="false" outlineLevel="0" collapsed="false">
      <c r="A234" s="7" t="s">
        <v>637</v>
      </c>
      <c r="B234" s="6" t="n">
        <v>1</v>
      </c>
      <c r="C234" s="8" t="s">
        <v>3549</v>
      </c>
    </row>
    <row r="235" customFormat="false" ht="15" hidden="false" customHeight="false" outlineLevel="0" collapsed="false">
      <c r="A235" s="7" t="s">
        <v>622</v>
      </c>
      <c r="B235" s="6" t="n">
        <v>1</v>
      </c>
      <c r="C235" s="8" t="s">
        <v>3550</v>
      </c>
    </row>
    <row r="236" customFormat="false" ht="15" hidden="false" customHeight="false" outlineLevel="0" collapsed="false">
      <c r="A236" s="7" t="s">
        <v>625</v>
      </c>
      <c r="B236" s="6" t="n">
        <v>1</v>
      </c>
      <c r="C236" s="8" t="s">
        <v>3551</v>
      </c>
    </row>
    <row r="237" customFormat="false" ht="15" hidden="false" customHeight="false" outlineLevel="0" collapsed="false">
      <c r="A237" s="7" t="s">
        <v>1241</v>
      </c>
      <c r="B237" s="6" t="n">
        <v>1</v>
      </c>
      <c r="C237" s="8" t="s">
        <v>3552</v>
      </c>
    </row>
    <row r="238" customFormat="false" ht="15" hidden="false" customHeight="false" outlineLevel="0" collapsed="false">
      <c r="A238" s="7" t="s">
        <v>1608</v>
      </c>
      <c r="B238" s="6" t="n">
        <v>1</v>
      </c>
      <c r="C238" s="8" t="s">
        <v>3553</v>
      </c>
    </row>
    <row r="239" customFormat="false" ht="15" hidden="false" customHeight="false" outlineLevel="0" collapsed="false">
      <c r="A239" s="7" t="s">
        <v>2393</v>
      </c>
      <c r="B239" s="6" t="n">
        <v>1</v>
      </c>
      <c r="C239" s="8" t="s">
        <v>3278</v>
      </c>
    </row>
    <row r="240" customFormat="false" ht="15" hidden="false" customHeight="false" outlineLevel="0" collapsed="false">
      <c r="A240" s="7" t="s">
        <v>2805</v>
      </c>
      <c r="B240" s="6" t="n">
        <v>1</v>
      </c>
      <c r="C240" s="8" t="s">
        <v>3554</v>
      </c>
    </row>
    <row r="241" customFormat="false" ht="15" hidden="false" customHeight="false" outlineLevel="0" collapsed="false">
      <c r="A241" s="7" t="s">
        <v>3555</v>
      </c>
      <c r="B241" s="6" t="n">
        <v>1</v>
      </c>
      <c r="C241" s="8" t="s">
        <v>3556</v>
      </c>
    </row>
    <row r="242" customFormat="false" ht="15" hidden="false" customHeight="false" outlineLevel="0" collapsed="false">
      <c r="A242" s="7" t="s">
        <v>3557</v>
      </c>
      <c r="B242" s="6" t="n">
        <v>1</v>
      </c>
      <c r="C242" s="8" t="s">
        <v>3558</v>
      </c>
    </row>
    <row r="243" customFormat="false" ht="15" hidden="false" customHeight="false" outlineLevel="0" collapsed="false">
      <c r="A243" s="7" t="s">
        <v>2935</v>
      </c>
      <c r="B243" s="6" t="n">
        <v>1</v>
      </c>
      <c r="C243" s="8" t="s">
        <v>3559</v>
      </c>
    </row>
    <row r="244" customFormat="false" ht="15" hidden="false" customHeight="false" outlineLevel="0" collapsed="false">
      <c r="A244" s="7" t="s">
        <v>3560</v>
      </c>
      <c r="B244" s="6" t="n">
        <v>1</v>
      </c>
      <c r="C244" s="8" t="s">
        <v>3561</v>
      </c>
    </row>
    <row r="245" customFormat="false" ht="15" hidden="false" customHeight="false" outlineLevel="0" collapsed="false">
      <c r="A245" s="7" t="s">
        <v>813</v>
      </c>
      <c r="B245" s="6" t="n">
        <v>1</v>
      </c>
      <c r="C245" s="8" t="s">
        <v>3562</v>
      </c>
    </row>
    <row r="246" customFormat="false" ht="15" hidden="false" customHeight="false" outlineLevel="0" collapsed="false">
      <c r="A246" s="7" t="s">
        <v>3563</v>
      </c>
      <c r="B246" s="6" t="n">
        <v>1</v>
      </c>
      <c r="C246" s="8" t="s">
        <v>3564</v>
      </c>
    </row>
    <row r="247" customFormat="false" ht="15" hidden="false" customHeight="false" outlineLevel="0" collapsed="false">
      <c r="A247" s="7" t="s">
        <v>3565</v>
      </c>
      <c r="B247" s="6" t="n">
        <v>1</v>
      </c>
      <c r="C247" s="8" t="s">
        <v>3566</v>
      </c>
    </row>
    <row r="248" customFormat="false" ht="15" hidden="false" customHeight="false" outlineLevel="0" collapsed="false">
      <c r="A248" s="7" t="s">
        <v>3567</v>
      </c>
      <c r="B248" s="6" t="n">
        <v>1</v>
      </c>
      <c r="C248" s="8" t="s">
        <v>3568</v>
      </c>
    </row>
    <row r="249" customFormat="false" ht="15" hidden="false" customHeight="false" outlineLevel="0" collapsed="false">
      <c r="A249" s="7" t="s">
        <v>3569</v>
      </c>
      <c r="B249" s="6" t="n">
        <v>1</v>
      </c>
      <c r="C249" s="8" t="s">
        <v>3570</v>
      </c>
    </row>
    <row r="250" customFormat="false" ht="15" hidden="false" customHeight="false" outlineLevel="0" collapsed="false">
      <c r="A250" s="7" t="s">
        <v>3571</v>
      </c>
      <c r="B250" s="6" t="n">
        <v>1</v>
      </c>
      <c r="C250" s="8" t="s">
        <v>3572</v>
      </c>
    </row>
    <row r="251" customFormat="false" ht="15" hidden="false" customHeight="false" outlineLevel="0" collapsed="false">
      <c r="A251" s="7" t="s">
        <v>2397</v>
      </c>
      <c r="B251" s="6" t="n">
        <v>1</v>
      </c>
      <c r="C251" s="8" t="s">
        <v>3573</v>
      </c>
    </row>
    <row r="252" customFormat="false" ht="15" hidden="false" customHeight="false" outlineLevel="0" collapsed="false">
      <c r="A252" s="7" t="s">
        <v>3574</v>
      </c>
      <c r="B252" s="6" t="n">
        <v>1</v>
      </c>
      <c r="C252" s="8" t="s">
        <v>3466</v>
      </c>
    </row>
    <row r="253" customFormat="false" ht="15" hidden="false" customHeight="false" outlineLevel="0" collapsed="false">
      <c r="A253" s="7" t="s">
        <v>2056</v>
      </c>
      <c r="B253" s="6" t="n">
        <v>1</v>
      </c>
      <c r="C253" s="8" t="s">
        <v>3575</v>
      </c>
    </row>
    <row r="254" customFormat="false" ht="15" hidden="false" customHeight="false" outlineLevel="0" collapsed="false">
      <c r="A254" s="7" t="s">
        <v>2954</v>
      </c>
      <c r="B254" s="6" t="n">
        <v>1</v>
      </c>
      <c r="C254" s="8" t="s">
        <v>3576</v>
      </c>
    </row>
    <row r="255" customFormat="false" ht="15" hidden="false" customHeight="false" outlineLevel="0" collapsed="false">
      <c r="A255" s="7" t="s">
        <v>2077</v>
      </c>
      <c r="B255" s="6" t="n">
        <v>1</v>
      </c>
      <c r="C255" s="8" t="s">
        <v>3577</v>
      </c>
    </row>
    <row r="256" customFormat="false" ht="15" hidden="false" customHeight="false" outlineLevel="0" collapsed="false">
      <c r="A256" s="7" t="s">
        <v>3578</v>
      </c>
      <c r="B256" s="6" t="n">
        <v>1</v>
      </c>
      <c r="C256" s="8" t="s">
        <v>3579</v>
      </c>
    </row>
    <row r="257" customFormat="false" ht="15" hidden="false" customHeight="false" outlineLevel="0" collapsed="false">
      <c r="A257" s="7" t="s">
        <v>3580</v>
      </c>
      <c r="B257" s="6" t="n">
        <v>1</v>
      </c>
      <c r="C257" s="8" t="s">
        <v>3581</v>
      </c>
    </row>
    <row r="258" customFormat="false" ht="15" hidden="false" customHeight="false" outlineLevel="0" collapsed="false">
      <c r="A258" s="7" t="s">
        <v>1096</v>
      </c>
      <c r="B258" s="6" t="n">
        <v>1</v>
      </c>
      <c r="C258" s="8" t="s">
        <v>3582</v>
      </c>
    </row>
    <row r="259" customFormat="false" ht="15" hidden="false" customHeight="false" outlineLevel="0" collapsed="false">
      <c r="A259" s="7" t="s">
        <v>3583</v>
      </c>
      <c r="B259" s="6" t="n">
        <v>1</v>
      </c>
      <c r="C259" s="8" t="s">
        <v>3584</v>
      </c>
    </row>
    <row r="260" customFormat="false" ht="15" hidden="false" customHeight="false" outlineLevel="0" collapsed="false">
      <c r="A260" s="7" t="s">
        <v>1184</v>
      </c>
      <c r="B260" s="6" t="n">
        <v>1</v>
      </c>
      <c r="C260" s="8" t="s">
        <v>3585</v>
      </c>
    </row>
    <row r="261" customFormat="false" ht="15" hidden="false" customHeight="false" outlineLevel="0" collapsed="false">
      <c r="A261" s="7" t="s">
        <v>1404</v>
      </c>
      <c r="B261" s="6" t="n">
        <v>1</v>
      </c>
      <c r="C261" s="8" t="s">
        <v>3586</v>
      </c>
    </row>
    <row r="262" customFormat="false" ht="15" hidden="false" customHeight="false" outlineLevel="0" collapsed="false">
      <c r="A262" s="7" t="s">
        <v>3587</v>
      </c>
      <c r="B262" s="6" t="n">
        <v>1</v>
      </c>
      <c r="C262" s="8" t="s">
        <v>3588</v>
      </c>
    </row>
    <row r="263" customFormat="false" ht="15" hidden="false" customHeight="false" outlineLevel="0" collapsed="false">
      <c r="A263" s="7" t="s">
        <v>2428</v>
      </c>
      <c r="B263" s="6" t="n">
        <v>1</v>
      </c>
      <c r="C263" s="8" t="s">
        <v>3589</v>
      </c>
    </row>
    <row r="264" customFormat="false" ht="15" hidden="false" customHeight="false" outlineLevel="0" collapsed="false">
      <c r="A264" s="7" t="s">
        <v>2288</v>
      </c>
      <c r="B264" s="6" t="n">
        <v>1</v>
      </c>
      <c r="C264" s="8" t="s">
        <v>3590</v>
      </c>
    </row>
    <row r="265" customFormat="false" ht="15" hidden="false" customHeight="false" outlineLevel="0" collapsed="false">
      <c r="A265" s="7" t="s">
        <v>1221</v>
      </c>
      <c r="B265" s="6" t="n">
        <v>1</v>
      </c>
      <c r="C265" s="8" t="s">
        <v>3591</v>
      </c>
    </row>
    <row r="266" customFormat="false" ht="15" hidden="false" customHeight="false" outlineLevel="0" collapsed="false">
      <c r="A266" s="7" t="s">
        <v>3592</v>
      </c>
      <c r="B266" s="6" t="n">
        <v>1</v>
      </c>
      <c r="C266" s="8" t="s">
        <v>3593</v>
      </c>
    </row>
    <row r="267" customFormat="false" ht="15" hidden="false" customHeight="false" outlineLevel="0" collapsed="false">
      <c r="A267" s="7" t="s">
        <v>1092</v>
      </c>
      <c r="B267" s="6" t="n">
        <v>1</v>
      </c>
      <c r="C267" s="8" t="s">
        <v>3594</v>
      </c>
    </row>
    <row r="268" customFormat="false" ht="15" hidden="false" customHeight="false" outlineLevel="0" collapsed="false">
      <c r="A268" s="7" t="s">
        <v>2292</v>
      </c>
      <c r="B268" s="6" t="n">
        <v>1</v>
      </c>
      <c r="C268" s="8" t="s">
        <v>3595</v>
      </c>
    </row>
    <row r="269" customFormat="false" ht="15" hidden="false" customHeight="false" outlineLevel="0" collapsed="false">
      <c r="A269" s="7" t="s">
        <v>1993</v>
      </c>
      <c r="B269" s="6" t="n">
        <v>1</v>
      </c>
      <c r="C269" s="8" t="s">
        <v>3596</v>
      </c>
    </row>
    <row r="270" customFormat="false" ht="15" hidden="false" customHeight="false" outlineLevel="0" collapsed="false">
      <c r="A270" s="7" t="s">
        <v>3597</v>
      </c>
      <c r="B270" s="6" t="n">
        <v>1</v>
      </c>
      <c r="C270" s="8" t="s">
        <v>3598</v>
      </c>
    </row>
    <row r="271" customFormat="false" ht="15" hidden="false" customHeight="false" outlineLevel="0" collapsed="false">
      <c r="A271" s="7" t="s">
        <v>1642</v>
      </c>
      <c r="B271" s="6" t="n">
        <v>1</v>
      </c>
      <c r="C271" s="8" t="s">
        <v>3599</v>
      </c>
    </row>
    <row r="272" customFormat="false" ht="15" hidden="false" customHeight="false" outlineLevel="0" collapsed="false">
      <c r="A272" s="7" t="s">
        <v>3600</v>
      </c>
      <c r="B272" s="6" t="n">
        <v>1</v>
      </c>
      <c r="C272" s="8" t="s">
        <v>3539</v>
      </c>
    </row>
    <row r="273" customFormat="false" ht="15" hidden="false" customHeight="false" outlineLevel="0" collapsed="false">
      <c r="A273" s="7" t="s">
        <v>1688</v>
      </c>
      <c r="B273" s="6" t="n">
        <v>1</v>
      </c>
      <c r="C273" s="8" t="s">
        <v>3601</v>
      </c>
    </row>
    <row r="274" customFormat="false" ht="15" hidden="false" customHeight="false" outlineLevel="0" collapsed="false">
      <c r="A274" s="7" t="s">
        <v>2280</v>
      </c>
      <c r="B274" s="6" t="n">
        <v>1</v>
      </c>
      <c r="C274" s="8" t="s">
        <v>3602</v>
      </c>
    </row>
    <row r="275" customFormat="false" ht="15" hidden="false" customHeight="false" outlineLevel="0" collapsed="false">
      <c r="A275" s="7" t="s">
        <v>3603</v>
      </c>
      <c r="B275" s="6" t="n">
        <v>1</v>
      </c>
      <c r="C275" s="8" t="s">
        <v>3604</v>
      </c>
    </row>
    <row r="276" customFormat="false" ht="15" hidden="false" customHeight="false" outlineLevel="0" collapsed="false">
      <c r="A276" s="7" t="s">
        <v>977</v>
      </c>
      <c r="B276" s="6" t="n">
        <v>1</v>
      </c>
      <c r="C276" s="8" t="s">
        <v>3605</v>
      </c>
    </row>
    <row r="277" customFormat="false" ht="15" hidden="false" customHeight="false" outlineLevel="0" collapsed="false">
      <c r="A277" s="7" t="s">
        <v>3024</v>
      </c>
      <c r="B277" s="6" t="n">
        <v>1</v>
      </c>
      <c r="C277" s="8" t="s">
        <v>3606</v>
      </c>
    </row>
    <row r="278" customFormat="false" ht="15" hidden="false" customHeight="false" outlineLevel="0" collapsed="false">
      <c r="A278" s="7" t="s">
        <v>2246</v>
      </c>
      <c r="B278" s="6" t="n">
        <v>1</v>
      </c>
      <c r="C278" s="8" t="s">
        <v>3607</v>
      </c>
    </row>
    <row r="279" customFormat="false" ht="15" hidden="false" customHeight="false" outlineLevel="0" collapsed="false">
      <c r="A279" s="7" t="s">
        <v>2461</v>
      </c>
      <c r="B279" s="6" t="n">
        <v>1</v>
      </c>
      <c r="C279" s="8" t="s">
        <v>3608</v>
      </c>
    </row>
    <row r="280" customFormat="false" ht="15" hidden="false" customHeight="false" outlineLevel="0" collapsed="false">
      <c r="A280" s="7" t="s">
        <v>2191</v>
      </c>
      <c r="B280" s="6" t="n">
        <v>1</v>
      </c>
      <c r="C280" s="8" t="s">
        <v>3609</v>
      </c>
    </row>
    <row r="281" customFormat="false" ht="15" hidden="false" customHeight="false" outlineLevel="0" collapsed="false">
      <c r="A281" s="7" t="s">
        <v>1567</v>
      </c>
      <c r="B281" s="6" t="n">
        <v>1</v>
      </c>
      <c r="C281" s="8" t="s">
        <v>3610</v>
      </c>
    </row>
    <row r="282" customFormat="false" ht="15" hidden="false" customHeight="false" outlineLevel="0" collapsed="false">
      <c r="A282" s="7" t="s">
        <v>1534</v>
      </c>
      <c r="B282" s="6" t="n">
        <v>1</v>
      </c>
      <c r="C282" s="8" t="s">
        <v>3611</v>
      </c>
    </row>
    <row r="283" customFormat="false" ht="15" hidden="false" customHeight="false" outlineLevel="0" collapsed="false">
      <c r="A283" s="7" t="s">
        <v>1386</v>
      </c>
      <c r="B283" s="6" t="n">
        <v>1</v>
      </c>
      <c r="C283" s="8" t="s">
        <v>3612</v>
      </c>
    </row>
    <row r="284" customFormat="false" ht="15" hidden="false" customHeight="false" outlineLevel="0" collapsed="false">
      <c r="A284" s="7" t="s">
        <v>2065</v>
      </c>
      <c r="B284" s="6" t="n">
        <v>1</v>
      </c>
      <c r="C284" s="8" t="s">
        <v>3613</v>
      </c>
    </row>
    <row r="285" customFormat="false" ht="15" hidden="false" customHeight="false" outlineLevel="0" collapsed="false">
      <c r="A285" s="7" t="s">
        <v>2305</v>
      </c>
      <c r="B285" s="6" t="n">
        <v>1</v>
      </c>
      <c r="C285" s="8" t="s">
        <v>3614</v>
      </c>
    </row>
    <row r="286" customFormat="false" ht="15" hidden="false" customHeight="false" outlineLevel="0" collapsed="false">
      <c r="A286" s="7" t="s">
        <v>3615</v>
      </c>
      <c r="B286" s="6" t="n">
        <v>1</v>
      </c>
      <c r="C286" s="8" t="s">
        <v>3616</v>
      </c>
    </row>
    <row r="287" customFormat="false" ht="15" hidden="false" customHeight="false" outlineLevel="0" collapsed="false">
      <c r="A287" s="7" t="s">
        <v>3617</v>
      </c>
      <c r="B287" s="6" t="n">
        <v>1</v>
      </c>
      <c r="C287" s="8" t="s">
        <v>3604</v>
      </c>
    </row>
    <row r="288" customFormat="false" ht="15" hidden="false" customHeight="false" outlineLevel="0" collapsed="false">
      <c r="A288" s="7" t="s">
        <v>1217</v>
      </c>
      <c r="B288" s="6" t="n">
        <v>1</v>
      </c>
      <c r="C288" s="8" t="s">
        <v>3618</v>
      </c>
    </row>
    <row r="289" customFormat="false" ht="15" hidden="false" customHeight="false" outlineLevel="0" collapsed="false">
      <c r="A289" s="7" t="s">
        <v>3619</v>
      </c>
      <c r="B289" s="6" t="n">
        <v>1</v>
      </c>
      <c r="C289" s="8" t="s">
        <v>3620</v>
      </c>
    </row>
    <row r="290" customFormat="false" ht="15" hidden="false" customHeight="false" outlineLevel="0" collapsed="false">
      <c r="A290" s="7" t="s">
        <v>3049</v>
      </c>
      <c r="B290" s="6" t="n">
        <v>1</v>
      </c>
      <c r="C290" s="8" t="s">
        <v>3621</v>
      </c>
    </row>
    <row r="291" customFormat="false" ht="15" hidden="false" customHeight="false" outlineLevel="0" collapsed="false">
      <c r="A291" s="7" t="s">
        <v>3622</v>
      </c>
      <c r="B291" s="6" t="n">
        <v>1</v>
      </c>
      <c r="C291" s="8" t="s">
        <v>3623</v>
      </c>
    </row>
    <row r="292" customFormat="false" ht="15" hidden="false" customHeight="false" outlineLevel="0" collapsed="false">
      <c r="A292" s="7" t="s">
        <v>3624</v>
      </c>
      <c r="B292" s="6" t="n">
        <v>1</v>
      </c>
      <c r="C292" s="8" t="s">
        <v>3625</v>
      </c>
    </row>
    <row r="293" customFormat="false" ht="15" hidden="false" customHeight="false" outlineLevel="0" collapsed="false">
      <c r="A293" s="7" t="s">
        <v>1436</v>
      </c>
      <c r="B293" s="6" t="n">
        <v>1</v>
      </c>
      <c r="C293" s="8" t="s">
        <v>3626</v>
      </c>
    </row>
    <row r="294" customFormat="false" ht="15" hidden="false" customHeight="false" outlineLevel="0" collapsed="false">
      <c r="A294" s="7" t="s">
        <v>1850</v>
      </c>
      <c r="B294" s="6" t="n">
        <v>1</v>
      </c>
      <c r="C294" s="8" t="s">
        <v>3627</v>
      </c>
    </row>
    <row r="295" customFormat="false" ht="15" hidden="false" customHeight="false" outlineLevel="0" collapsed="false">
      <c r="A295" s="7" t="s">
        <v>3628</v>
      </c>
      <c r="B295" s="6" t="n">
        <v>1</v>
      </c>
      <c r="C295" s="8" t="s">
        <v>3629</v>
      </c>
    </row>
    <row r="296" customFormat="false" ht="15" hidden="false" customHeight="false" outlineLevel="0" collapsed="false">
      <c r="A296" s="7" t="s">
        <v>2081</v>
      </c>
      <c r="B296" s="6" t="n">
        <v>1</v>
      </c>
      <c r="C296" s="8" t="s">
        <v>3630</v>
      </c>
    </row>
    <row r="297" customFormat="false" ht="15" hidden="false" customHeight="false" outlineLevel="0" collapsed="false">
      <c r="A297" s="7" t="s">
        <v>3631</v>
      </c>
      <c r="B297" s="6" t="n">
        <v>1</v>
      </c>
      <c r="C297" s="8" t="s">
        <v>3632</v>
      </c>
    </row>
    <row r="298" customFormat="false" ht="15" hidden="false" customHeight="false" outlineLevel="0" collapsed="false">
      <c r="A298" s="7" t="s">
        <v>1041</v>
      </c>
      <c r="B298" s="6" t="n">
        <v>1</v>
      </c>
      <c r="C298" s="8" t="s">
        <v>3633</v>
      </c>
    </row>
    <row r="299" customFormat="false" ht="15" hidden="false" customHeight="false" outlineLevel="0" collapsed="false">
      <c r="A299" s="7" t="s">
        <v>1191</v>
      </c>
      <c r="B299" s="6" t="n">
        <v>1</v>
      </c>
      <c r="C299" s="8" t="s">
        <v>3634</v>
      </c>
    </row>
    <row r="300" customFormat="false" ht="15" hidden="false" customHeight="false" outlineLevel="0" collapsed="false">
      <c r="A300" s="7" t="s">
        <v>3031</v>
      </c>
      <c r="B300" s="6" t="n">
        <v>1</v>
      </c>
      <c r="C300" s="8" t="s">
        <v>3635</v>
      </c>
    </row>
    <row r="301" customFormat="false" ht="15" hidden="false" customHeight="false" outlineLevel="0" collapsed="false">
      <c r="A301" s="7" t="s">
        <v>1038</v>
      </c>
      <c r="B301" s="6" t="n">
        <v>1</v>
      </c>
      <c r="C301" s="8" t="s">
        <v>3636</v>
      </c>
    </row>
    <row r="302" customFormat="false" ht="15" hidden="false" customHeight="false" outlineLevel="0" collapsed="false">
      <c r="A302" s="7" t="s">
        <v>1264</v>
      </c>
      <c r="B302" s="6" t="n">
        <v>1</v>
      </c>
      <c r="C302" s="8" t="s">
        <v>3637</v>
      </c>
    </row>
    <row r="303" customFormat="false" ht="15" hidden="false" customHeight="false" outlineLevel="0" collapsed="false">
      <c r="A303" s="7" t="s">
        <v>2971</v>
      </c>
      <c r="B303" s="6" t="n">
        <v>1</v>
      </c>
      <c r="C303" s="8" t="s">
        <v>3638</v>
      </c>
    </row>
    <row r="304" customFormat="false" ht="15" hidden="false" customHeight="false" outlineLevel="0" collapsed="false">
      <c r="A304" s="7" t="s">
        <v>959</v>
      </c>
      <c r="B304" s="6" t="n">
        <v>1</v>
      </c>
      <c r="C304" s="8" t="s">
        <v>3639</v>
      </c>
    </row>
    <row r="305" customFormat="false" ht="15" hidden="false" customHeight="false" outlineLevel="0" collapsed="false">
      <c r="A305" s="7" t="s">
        <v>1209</v>
      </c>
      <c r="B305" s="6" t="n">
        <v>1</v>
      </c>
      <c r="C305" s="8" t="s">
        <v>3640</v>
      </c>
    </row>
    <row r="306" customFormat="false" ht="15" hidden="false" customHeight="false" outlineLevel="0" collapsed="false">
      <c r="A306" s="7" t="s">
        <v>1232</v>
      </c>
      <c r="B306" s="6" t="n">
        <v>1</v>
      </c>
      <c r="C306" s="8" t="s">
        <v>3641</v>
      </c>
    </row>
    <row r="307" customFormat="false" ht="15" hidden="false" customHeight="false" outlineLevel="0" collapsed="false">
      <c r="A307" s="7" t="s">
        <v>2662</v>
      </c>
      <c r="B307" s="6" t="n">
        <v>1</v>
      </c>
      <c r="C307" s="8" t="s">
        <v>3642</v>
      </c>
    </row>
    <row r="308" customFormat="false" ht="15" hidden="false" customHeight="false" outlineLevel="0" collapsed="false">
      <c r="A308" s="7" t="s">
        <v>1127</v>
      </c>
      <c r="B308" s="6" t="n">
        <v>1</v>
      </c>
      <c r="C308" s="8" t="s">
        <v>3643</v>
      </c>
    </row>
    <row r="309" customFormat="false" ht="15" hidden="false" customHeight="false" outlineLevel="0" collapsed="false">
      <c r="A309" s="7" t="s">
        <v>2283</v>
      </c>
      <c r="B309" s="6" t="n">
        <v>1</v>
      </c>
      <c r="C309" s="8" t="s">
        <v>3644</v>
      </c>
    </row>
    <row r="310" customFormat="false" ht="15" hidden="false" customHeight="false" outlineLevel="0" collapsed="false">
      <c r="A310" s="7" t="s">
        <v>926</v>
      </c>
      <c r="B310" s="6" t="n">
        <v>1</v>
      </c>
      <c r="C310" s="8" t="s">
        <v>3645</v>
      </c>
    </row>
    <row r="311" customFormat="false" ht="15" hidden="false" customHeight="false" outlineLevel="0" collapsed="false">
      <c r="A311" s="7" t="s">
        <v>2866</v>
      </c>
      <c r="B311" s="6" t="n">
        <v>1</v>
      </c>
      <c r="C311" s="8" t="s">
        <v>3646</v>
      </c>
    </row>
    <row r="312" customFormat="false" ht="15" hidden="false" customHeight="false" outlineLevel="0" collapsed="false">
      <c r="A312" s="7" t="s">
        <v>1439</v>
      </c>
      <c r="B312" s="6" t="n">
        <v>1</v>
      </c>
      <c r="C312" s="8" t="s">
        <v>3647</v>
      </c>
    </row>
    <row r="313" customFormat="false" ht="15" hidden="false" customHeight="false" outlineLevel="0" collapsed="false">
      <c r="A313" s="7" t="s">
        <v>704</v>
      </c>
      <c r="B313" s="6" t="n">
        <v>1</v>
      </c>
      <c r="C313" s="8" t="s">
        <v>3648</v>
      </c>
    </row>
    <row r="314" customFormat="false" ht="15" hidden="false" customHeight="false" outlineLevel="0" collapsed="false">
      <c r="A314" s="7" t="s">
        <v>1601</v>
      </c>
      <c r="B314" s="6" t="n">
        <v>1</v>
      </c>
      <c r="C314" s="8" t="s">
        <v>3649</v>
      </c>
    </row>
    <row r="315" customFormat="false" ht="15" hidden="false" customHeight="false" outlineLevel="0" collapsed="false">
      <c r="A315" s="7" t="s">
        <v>1396</v>
      </c>
      <c r="B315" s="6" t="n">
        <v>1</v>
      </c>
      <c r="C315" s="8" t="s">
        <v>3650</v>
      </c>
    </row>
    <row r="316" customFormat="false" ht="15" hidden="false" customHeight="false" outlineLevel="0" collapsed="false">
      <c r="A316" s="7" t="s">
        <v>1683</v>
      </c>
      <c r="B316" s="6" t="n">
        <v>1</v>
      </c>
      <c r="C316" s="8" t="s">
        <v>3651</v>
      </c>
    </row>
    <row r="317" customFormat="false" ht="15" hidden="false" customHeight="false" outlineLevel="0" collapsed="false">
      <c r="A317" s="7" t="s">
        <v>1280</v>
      </c>
      <c r="B317" s="6" t="n">
        <v>1</v>
      </c>
      <c r="C317" s="8" t="s">
        <v>3652</v>
      </c>
    </row>
    <row r="318" customFormat="false" ht="15" hidden="false" customHeight="false" outlineLevel="0" collapsed="false">
      <c r="A318" s="7" t="s">
        <v>3653</v>
      </c>
      <c r="B318" s="6" t="n">
        <v>1</v>
      </c>
      <c r="C318" s="8" t="s">
        <v>3620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9" t="s">
        <v>3654</v>
      </c>
    </row>
    <row r="2" customFormat="false" ht="15" hidden="false" customHeight="false" outlineLevel="0" collapsed="false">
      <c r="A2" s="10"/>
    </row>
    <row r="3" customFormat="false" ht="35.05" hidden="false" customHeight="false" outlineLevel="0" collapsed="false">
      <c r="A3" s="10" t="s">
        <v>3655</v>
      </c>
    </row>
    <row r="4" customFormat="false" ht="23.85" hidden="false" customHeight="false" outlineLevel="0" collapsed="false">
      <c r="A4" s="10" t="s">
        <v>3656</v>
      </c>
    </row>
    <row r="5" customFormat="false" ht="23.85" hidden="false" customHeight="false" outlineLevel="0" collapsed="false">
      <c r="A5" s="10" t="s">
        <v>3657</v>
      </c>
    </row>
    <row r="6" customFormat="false" ht="15" hidden="false" customHeight="false" outlineLevel="0" collapsed="false">
      <c r="A6" s="10" t="s">
        <v>3658</v>
      </c>
    </row>
    <row r="7" customFormat="false" ht="15" hidden="false" customHeight="false" outlineLevel="0" collapsed="false">
      <c r="A7" s="10"/>
    </row>
    <row r="8" customFormat="false" ht="23.85" hidden="false" customHeight="false" outlineLevel="0" collapsed="false">
      <c r="A8" s="10" t="s">
        <v>3659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2026-07-05T00:33:07Z</dcterms:created>
  <dc:creator>openpyxl</dc:creator>
  <dc:description/>
  <dc:language>en-US</dc:language>
  <cp:lastModifiedBy/>
  <dcterms:modified xsi:type="dcterms:W3CDTF">2026-07-05T00:33:07Z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